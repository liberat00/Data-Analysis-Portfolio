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working\waccache\BY3PEPF0000DF98\EXCELCNV\8cdd61f2-1773-4016-8b59-cb87115545c8\"/>
    </mc:Choice>
  </mc:AlternateContent>
  <xr:revisionPtr revIDLastSave="0" documentId="8_{BEC4F82D-3D75-4BCC-8069-53A2CFE93937}" xr6:coauthVersionLast="47" xr6:coauthVersionMax="47" xr10:uidLastSave="{00000000-0000-0000-0000-000000000000}"/>
  <bookViews>
    <workbookView xWindow="-60" yWindow="-60" windowWidth="15480" windowHeight="11640" firstSheet="2" activeTab="2" xr2:uid="{0C9DE8D8-5727-4C3D-9374-B58BADB03A02}"/>
  </bookViews>
  <sheets>
    <sheet name="index" sheetId="1" r:id="rId1"/>
    <sheet name="工作表1" sheetId="8" r:id="rId2"/>
    <sheet name="工作表2" sheetId="9" r:id="rId3"/>
    <sheet name="formula" sheetId="2" r:id="rId4"/>
    <sheet name="chart1" sheetId="5" r:id="rId5"/>
    <sheet name="chart2" sheetId="6" r:id="rId6"/>
    <sheet name="dashboard" sheetId="7" r:id="rId7"/>
  </sheets>
  <definedNames>
    <definedName name="_xlnm._FilterDatabase" localSheetId="3" hidden="1">formula!$A$1:$P$377</definedName>
  </definedNames>
  <calcPr calcId="191028"/>
  <pivotCaches>
    <pivotCache cacheId="6715" r:id="rId8"/>
    <pivotCache cacheId="6716" r:id="rId9"/>
    <pivotCache cacheId="6717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84" i="2" l="1"/>
  <c r="J384" i="2"/>
  <c r="K388" i="2"/>
  <c r="J388" i="2"/>
  <c r="F384" i="2"/>
  <c r="G384" i="2"/>
  <c r="C384" i="2"/>
  <c r="B384" i="2"/>
  <c r="I388" i="2"/>
  <c r="H388" i="2"/>
  <c r="G388" i="2"/>
  <c r="H384" i="2"/>
  <c r="I384" i="2"/>
  <c r="F388" i="2"/>
  <c r="O377" i="2"/>
  <c r="O376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2" i="2"/>
  <c r="N377" i="2"/>
  <c r="I377" i="2"/>
  <c r="H377" i="2"/>
  <c r="G377" i="2"/>
  <c r="F377" i="2"/>
  <c r="M377" i="2"/>
  <c r="D3" i="2" a="1"/>
  <c r="D3" i="2"/>
  <c r="D4" i="2" a="1"/>
  <c r="D4" i="2"/>
  <c r="D5" i="2" a="1"/>
  <c r="D5" i="2"/>
  <c r="D6" i="2" a="1"/>
  <c r="D6" i="2"/>
  <c r="D7" i="2" a="1"/>
  <c r="D7" i="2"/>
  <c r="D8" i="2" a="1"/>
  <c r="D8" i="2"/>
  <c r="D9" i="2" a="1"/>
  <c r="D9" i="2"/>
  <c r="D10" i="2" a="1"/>
  <c r="D10" i="2"/>
  <c r="D11" i="2" a="1"/>
  <c r="D11" i="2"/>
  <c r="D12" i="2" a="1"/>
  <c r="D12" i="2"/>
  <c r="D13" i="2" a="1"/>
  <c r="D13" i="2"/>
  <c r="D14" i="2" a="1"/>
  <c r="D14" i="2"/>
  <c r="D15" i="2" a="1"/>
  <c r="D15" i="2"/>
  <c r="D16" i="2" a="1"/>
  <c r="D16" i="2"/>
  <c r="D17" i="2" a="1"/>
  <c r="D17" i="2"/>
  <c r="D18" i="2" a="1"/>
  <c r="D18" i="2"/>
  <c r="D19" i="2" a="1"/>
  <c r="D19" i="2"/>
  <c r="D20" i="2" a="1"/>
  <c r="D20" i="2"/>
  <c r="D21" i="2" a="1"/>
  <c r="D21" i="2"/>
  <c r="D22" i="2" a="1"/>
  <c r="D22" i="2"/>
  <c r="D23" i="2" a="1"/>
  <c r="D23" i="2"/>
  <c r="D24" i="2" a="1"/>
  <c r="D24" i="2"/>
  <c r="D25" i="2" a="1"/>
  <c r="D25" i="2"/>
  <c r="D26" i="2" a="1"/>
  <c r="D26" i="2"/>
  <c r="D27" i="2" a="1"/>
  <c r="D27" i="2"/>
  <c r="D28" i="2" a="1"/>
  <c r="D28" i="2"/>
  <c r="D29" i="2" a="1"/>
  <c r="D29" i="2"/>
  <c r="D30" i="2" a="1"/>
  <c r="D30" i="2"/>
  <c r="D31" i="2" a="1"/>
  <c r="D31" i="2"/>
  <c r="D32" i="2" a="1"/>
  <c r="D32" i="2"/>
  <c r="D33" i="2" a="1"/>
  <c r="D33" i="2"/>
  <c r="D34" i="2" a="1"/>
  <c r="D34" i="2"/>
  <c r="D35" i="2" a="1"/>
  <c r="D35" i="2"/>
  <c r="D36" i="2" a="1"/>
  <c r="D36" i="2"/>
  <c r="D37" i="2" a="1"/>
  <c r="D37" i="2"/>
  <c r="D38" i="2" a="1"/>
  <c r="D38" i="2"/>
  <c r="D39" i="2" a="1"/>
  <c r="D39" i="2"/>
  <c r="D40" i="2" a="1"/>
  <c r="D40" i="2"/>
  <c r="D41" i="2" a="1"/>
  <c r="D41" i="2"/>
  <c r="D42" i="2" a="1"/>
  <c r="D42" i="2"/>
  <c r="D43" i="2" a="1"/>
  <c r="D43" i="2"/>
  <c r="D44" i="2" a="1"/>
  <c r="D44" i="2"/>
  <c r="D45" i="2" a="1"/>
  <c r="D45" i="2"/>
  <c r="D46" i="2" a="1"/>
  <c r="D46" i="2"/>
  <c r="D47" i="2" a="1"/>
  <c r="D47" i="2"/>
  <c r="D48" i="2" a="1"/>
  <c r="D48" i="2"/>
  <c r="D49" i="2" a="1"/>
  <c r="D49" i="2"/>
  <c r="D50" i="2" a="1"/>
  <c r="D50" i="2"/>
  <c r="D51" i="2" a="1"/>
  <c r="D51" i="2"/>
  <c r="D52" i="2" a="1"/>
  <c r="D52" i="2"/>
  <c r="D53" i="2" a="1"/>
  <c r="D53" i="2"/>
  <c r="D54" i="2" a="1"/>
  <c r="D54" i="2"/>
  <c r="D55" i="2" a="1"/>
  <c r="D55" i="2"/>
  <c r="D56" i="2" a="1"/>
  <c r="D56" i="2"/>
  <c r="D57" i="2" a="1"/>
  <c r="D57" i="2"/>
  <c r="D58" i="2" a="1"/>
  <c r="D58" i="2"/>
  <c r="D59" i="2" a="1"/>
  <c r="D59" i="2"/>
  <c r="D60" i="2" a="1"/>
  <c r="D60" i="2"/>
  <c r="D61" i="2" a="1"/>
  <c r="D61" i="2"/>
  <c r="D62" i="2" a="1"/>
  <c r="D62" i="2"/>
  <c r="D63" i="2" a="1"/>
  <c r="D63" i="2"/>
  <c r="D64" i="2" a="1"/>
  <c r="D64" i="2"/>
  <c r="D65" i="2" a="1"/>
  <c r="D65" i="2"/>
  <c r="D66" i="2" a="1"/>
  <c r="D66" i="2"/>
  <c r="D67" i="2" a="1"/>
  <c r="D67" i="2"/>
  <c r="D68" i="2" a="1"/>
  <c r="D68" i="2"/>
  <c r="D69" i="2" a="1"/>
  <c r="D69" i="2"/>
  <c r="D70" i="2" a="1"/>
  <c r="D70" i="2"/>
  <c r="D71" i="2" a="1"/>
  <c r="D71" i="2"/>
  <c r="D72" i="2" a="1"/>
  <c r="D72" i="2"/>
  <c r="D73" i="2" a="1"/>
  <c r="D73" i="2"/>
  <c r="D74" i="2" a="1"/>
  <c r="D74" i="2"/>
  <c r="D75" i="2" a="1"/>
  <c r="D75" i="2"/>
  <c r="D76" i="2" a="1"/>
  <c r="D76" i="2"/>
  <c r="D77" i="2" a="1"/>
  <c r="D77" i="2"/>
  <c r="D78" i="2" a="1"/>
  <c r="D78" i="2"/>
  <c r="D79" i="2" a="1"/>
  <c r="D79" i="2"/>
  <c r="D80" i="2" a="1"/>
  <c r="D80" i="2"/>
  <c r="D81" i="2" a="1"/>
  <c r="D81" i="2"/>
  <c r="D82" i="2" a="1"/>
  <c r="D82" i="2"/>
  <c r="D83" i="2" a="1"/>
  <c r="D83" i="2"/>
  <c r="D84" i="2" a="1"/>
  <c r="D84" i="2"/>
  <c r="D85" i="2" a="1"/>
  <c r="D85" i="2"/>
  <c r="D86" i="2" a="1"/>
  <c r="D86" i="2"/>
  <c r="D87" i="2" a="1"/>
  <c r="D87" i="2"/>
  <c r="D88" i="2" a="1"/>
  <c r="D88" i="2"/>
  <c r="D89" i="2" a="1"/>
  <c r="D89" i="2"/>
  <c r="D90" i="2" a="1"/>
  <c r="D90" i="2"/>
  <c r="D91" i="2" a="1"/>
  <c r="D91" i="2"/>
  <c r="D92" i="2" a="1"/>
  <c r="D92" i="2"/>
  <c r="D93" i="2" a="1"/>
  <c r="D93" i="2"/>
  <c r="D94" i="2" a="1"/>
  <c r="D94" i="2"/>
  <c r="D95" i="2" a="1"/>
  <c r="D95" i="2"/>
  <c r="D96" i="2" a="1"/>
  <c r="D96" i="2"/>
  <c r="D97" i="2" a="1"/>
  <c r="D97" i="2"/>
  <c r="D98" i="2" a="1"/>
  <c r="D98" i="2"/>
  <c r="D99" i="2" a="1"/>
  <c r="D99" i="2"/>
  <c r="D100" i="2" a="1"/>
  <c r="D100" i="2"/>
  <c r="D101" i="2" a="1"/>
  <c r="D101" i="2"/>
  <c r="D102" i="2" a="1"/>
  <c r="D102" i="2"/>
  <c r="D103" i="2" a="1"/>
  <c r="D103" i="2"/>
  <c r="D104" i="2" a="1"/>
  <c r="D104" i="2"/>
  <c r="D105" i="2" a="1"/>
  <c r="D105" i="2"/>
  <c r="D106" i="2" a="1"/>
  <c r="D106" i="2"/>
  <c r="D107" i="2" a="1"/>
  <c r="D107" i="2"/>
  <c r="D108" i="2" a="1"/>
  <c r="D108" i="2"/>
  <c r="D109" i="2" a="1"/>
  <c r="D109" i="2"/>
  <c r="D110" i="2" a="1"/>
  <c r="D110" i="2"/>
  <c r="D111" i="2" a="1"/>
  <c r="D111" i="2"/>
  <c r="D112" i="2" a="1"/>
  <c r="D112" i="2"/>
  <c r="D113" i="2" a="1"/>
  <c r="D113" i="2"/>
  <c r="D114" i="2" a="1"/>
  <c r="D114" i="2"/>
  <c r="D115" i="2" a="1"/>
  <c r="D115" i="2"/>
  <c r="D116" i="2" a="1"/>
  <c r="D116" i="2"/>
  <c r="D117" i="2" a="1"/>
  <c r="D117" i="2"/>
  <c r="D118" i="2" a="1"/>
  <c r="D118" i="2"/>
  <c r="D119" i="2" a="1"/>
  <c r="D119" i="2"/>
  <c r="D120" i="2" a="1"/>
  <c r="D120" i="2"/>
  <c r="D121" i="2" a="1"/>
  <c r="D121" i="2"/>
  <c r="D122" i="2" a="1"/>
  <c r="D122" i="2"/>
  <c r="D123" i="2" a="1"/>
  <c r="D123" i="2"/>
  <c r="D124" i="2" a="1"/>
  <c r="D124" i="2"/>
  <c r="D125" i="2" a="1"/>
  <c r="D125" i="2"/>
  <c r="D126" i="2" a="1"/>
  <c r="D126" i="2"/>
  <c r="D127" i="2" a="1"/>
  <c r="D127" i="2"/>
  <c r="D128" i="2" a="1"/>
  <c r="D128" i="2"/>
  <c r="D129" i="2" a="1"/>
  <c r="D129" i="2"/>
  <c r="D130" i="2" a="1"/>
  <c r="D130" i="2"/>
  <c r="D131" i="2" a="1"/>
  <c r="D131" i="2"/>
  <c r="D132" i="2" a="1"/>
  <c r="D132" i="2"/>
  <c r="D133" i="2" a="1"/>
  <c r="D133" i="2"/>
  <c r="D134" i="2" a="1"/>
  <c r="D134" i="2"/>
  <c r="D135" i="2" a="1"/>
  <c r="D135" i="2"/>
  <c r="D136" i="2" a="1"/>
  <c r="D136" i="2"/>
  <c r="D137" i="2" a="1"/>
  <c r="D137" i="2"/>
  <c r="D138" i="2" a="1"/>
  <c r="D138" i="2"/>
  <c r="D139" i="2" a="1"/>
  <c r="D139" i="2"/>
  <c r="D140" i="2" a="1"/>
  <c r="D140" i="2"/>
  <c r="D141" i="2" a="1"/>
  <c r="D141" i="2"/>
  <c r="D142" i="2" a="1"/>
  <c r="D142" i="2"/>
  <c r="D143" i="2" a="1"/>
  <c r="D143" i="2"/>
  <c r="D144" i="2" a="1"/>
  <c r="D144" i="2"/>
  <c r="D145" i="2" a="1"/>
  <c r="D145" i="2"/>
  <c r="D146" i="2" a="1"/>
  <c r="D146" i="2"/>
  <c r="D147" i="2" a="1"/>
  <c r="D147" i="2"/>
  <c r="D148" i="2" a="1"/>
  <c r="D148" i="2"/>
  <c r="D149" i="2" a="1"/>
  <c r="D149" i="2"/>
  <c r="D150" i="2" a="1"/>
  <c r="D150" i="2"/>
  <c r="D151" i="2" a="1"/>
  <c r="D151" i="2"/>
  <c r="D152" i="2" a="1"/>
  <c r="D152" i="2"/>
  <c r="D153" i="2" a="1"/>
  <c r="D153" i="2"/>
  <c r="D154" i="2" a="1"/>
  <c r="D154" i="2"/>
  <c r="D155" i="2" a="1"/>
  <c r="D155" i="2"/>
  <c r="D156" i="2" a="1"/>
  <c r="D156" i="2"/>
  <c r="D157" i="2" a="1"/>
  <c r="D157" i="2"/>
  <c r="D158" i="2" a="1"/>
  <c r="D158" i="2"/>
  <c r="D159" i="2" a="1"/>
  <c r="D159" i="2"/>
  <c r="D160" i="2" a="1"/>
  <c r="D160" i="2"/>
  <c r="D161" i="2" a="1"/>
  <c r="D161" i="2"/>
  <c r="D162" i="2" a="1"/>
  <c r="D162" i="2"/>
  <c r="D163" i="2" a="1"/>
  <c r="D163" i="2"/>
  <c r="D164" i="2" a="1"/>
  <c r="D164" i="2"/>
  <c r="D165" i="2" a="1"/>
  <c r="D165" i="2"/>
  <c r="D166" i="2" a="1"/>
  <c r="D166" i="2"/>
  <c r="D167" i="2" a="1"/>
  <c r="D167" i="2"/>
  <c r="D168" i="2" a="1"/>
  <c r="D168" i="2"/>
  <c r="D169" i="2" a="1"/>
  <c r="D169" i="2"/>
  <c r="D170" i="2" a="1"/>
  <c r="D170" i="2"/>
  <c r="D171" i="2" a="1"/>
  <c r="D171" i="2"/>
  <c r="D172" i="2" a="1"/>
  <c r="D172" i="2"/>
  <c r="D173" i="2" a="1"/>
  <c r="D173" i="2"/>
  <c r="D174" i="2" a="1"/>
  <c r="D174" i="2"/>
  <c r="D175" i="2" a="1"/>
  <c r="D175" i="2"/>
  <c r="D176" i="2" a="1"/>
  <c r="D176" i="2"/>
  <c r="D177" i="2" a="1"/>
  <c r="D177" i="2"/>
  <c r="D178" i="2" a="1"/>
  <c r="D178" i="2"/>
  <c r="D179" i="2" a="1"/>
  <c r="D179" i="2"/>
  <c r="D180" i="2" a="1"/>
  <c r="D180" i="2"/>
  <c r="D181" i="2" a="1"/>
  <c r="D181" i="2"/>
  <c r="D182" i="2" a="1"/>
  <c r="D182" i="2"/>
  <c r="D183" i="2" a="1"/>
  <c r="D183" i="2"/>
  <c r="D184" i="2" a="1"/>
  <c r="D184" i="2"/>
  <c r="D185" i="2" a="1"/>
  <c r="D185" i="2"/>
  <c r="D186" i="2" a="1"/>
  <c r="D186" i="2"/>
  <c r="D187" i="2" a="1"/>
  <c r="D187" i="2"/>
  <c r="D188" i="2" a="1"/>
  <c r="D188" i="2"/>
  <c r="D189" i="2" a="1"/>
  <c r="D189" i="2"/>
  <c r="D190" i="2" a="1"/>
  <c r="D190" i="2"/>
  <c r="D191" i="2" a="1"/>
  <c r="D191" i="2"/>
  <c r="D192" i="2" a="1"/>
  <c r="D192" i="2"/>
  <c r="D193" i="2" a="1"/>
  <c r="D193" i="2"/>
  <c r="D194" i="2" a="1"/>
  <c r="D194" i="2"/>
  <c r="D195" i="2" a="1"/>
  <c r="D195" i="2"/>
  <c r="D196" i="2" a="1"/>
  <c r="D196" i="2"/>
  <c r="D197" i="2" a="1"/>
  <c r="D197" i="2"/>
  <c r="D198" i="2" a="1"/>
  <c r="D198" i="2"/>
  <c r="D199" i="2" a="1"/>
  <c r="D199" i="2"/>
  <c r="D200" i="2" a="1"/>
  <c r="D200" i="2"/>
  <c r="D201" i="2" a="1"/>
  <c r="D201" i="2"/>
  <c r="D202" i="2" a="1"/>
  <c r="D202" i="2"/>
  <c r="D203" i="2" a="1"/>
  <c r="D203" i="2"/>
  <c r="D204" i="2" a="1"/>
  <c r="D204" i="2"/>
  <c r="D205" i="2" a="1"/>
  <c r="D205" i="2"/>
  <c r="D206" i="2" a="1"/>
  <c r="D206" i="2"/>
  <c r="D207" i="2" a="1"/>
  <c r="D207" i="2"/>
  <c r="D208" i="2" a="1"/>
  <c r="D208" i="2"/>
  <c r="D209" i="2" a="1"/>
  <c r="D209" i="2"/>
  <c r="D210" i="2" a="1"/>
  <c r="D210" i="2"/>
  <c r="D211" i="2" a="1"/>
  <c r="D211" i="2"/>
  <c r="D212" i="2" a="1"/>
  <c r="D212" i="2"/>
  <c r="D213" i="2" a="1"/>
  <c r="D213" i="2"/>
  <c r="D214" i="2" a="1"/>
  <c r="D214" i="2"/>
  <c r="D215" i="2" a="1"/>
  <c r="D215" i="2"/>
  <c r="D216" i="2" a="1"/>
  <c r="D216" i="2"/>
  <c r="D217" i="2" a="1"/>
  <c r="D217" i="2"/>
  <c r="D218" i="2" a="1"/>
  <c r="D218" i="2"/>
  <c r="D219" i="2" a="1"/>
  <c r="D219" i="2"/>
  <c r="D220" i="2" a="1"/>
  <c r="D220" i="2"/>
  <c r="D221" i="2" a="1"/>
  <c r="D221" i="2"/>
  <c r="D222" i="2" a="1"/>
  <c r="D222" i="2"/>
  <c r="D223" i="2" a="1"/>
  <c r="D223" i="2"/>
  <c r="D224" i="2" a="1"/>
  <c r="D224" i="2"/>
  <c r="D225" i="2" a="1"/>
  <c r="D225" i="2"/>
  <c r="D226" i="2" a="1"/>
  <c r="D226" i="2"/>
  <c r="D227" i="2" a="1"/>
  <c r="D227" i="2"/>
  <c r="D228" i="2" a="1"/>
  <c r="D228" i="2"/>
  <c r="D229" i="2" a="1"/>
  <c r="D229" i="2"/>
  <c r="D230" i="2" a="1"/>
  <c r="D230" i="2"/>
  <c r="D231" i="2" a="1"/>
  <c r="D231" i="2"/>
  <c r="D232" i="2" a="1"/>
  <c r="D232" i="2"/>
  <c r="D233" i="2" a="1"/>
  <c r="D233" i="2"/>
  <c r="D234" i="2" a="1"/>
  <c r="D234" i="2"/>
  <c r="D235" i="2" a="1"/>
  <c r="D235" i="2"/>
  <c r="D236" i="2" a="1"/>
  <c r="D236" i="2"/>
  <c r="D237" i="2" a="1"/>
  <c r="D237" i="2"/>
  <c r="D238" i="2" a="1"/>
  <c r="D238" i="2"/>
  <c r="D239" i="2" a="1"/>
  <c r="D239" i="2"/>
  <c r="D240" i="2" a="1"/>
  <c r="D240" i="2"/>
  <c r="D241" i="2" a="1"/>
  <c r="D241" i="2"/>
  <c r="D242" i="2" a="1"/>
  <c r="D242" i="2"/>
  <c r="D243" i="2" a="1"/>
  <c r="D243" i="2"/>
  <c r="D244" i="2" a="1"/>
  <c r="D244" i="2"/>
  <c r="D245" i="2" a="1"/>
  <c r="D245" i="2"/>
  <c r="D246" i="2" a="1"/>
  <c r="D246" i="2"/>
  <c r="D247" i="2" a="1"/>
  <c r="D247" i="2"/>
  <c r="D248" i="2" a="1"/>
  <c r="D248" i="2"/>
  <c r="D249" i="2" a="1"/>
  <c r="D249" i="2"/>
  <c r="D250" i="2" a="1"/>
  <c r="D250" i="2"/>
  <c r="D251" i="2" a="1"/>
  <c r="D251" i="2"/>
  <c r="D252" i="2" a="1"/>
  <c r="D252" i="2"/>
  <c r="D253" i="2" a="1"/>
  <c r="D253" i="2"/>
  <c r="D254" i="2" a="1"/>
  <c r="D254" i="2"/>
  <c r="D255" i="2" a="1"/>
  <c r="D255" i="2"/>
  <c r="D256" i="2" a="1"/>
  <c r="D256" i="2"/>
  <c r="D257" i="2" a="1"/>
  <c r="D257" i="2"/>
  <c r="D258" i="2" a="1"/>
  <c r="D258" i="2"/>
  <c r="D259" i="2" a="1"/>
  <c r="D259" i="2"/>
  <c r="D260" i="2" a="1"/>
  <c r="D260" i="2"/>
  <c r="D261" i="2" a="1"/>
  <c r="D261" i="2"/>
  <c r="D262" i="2" a="1"/>
  <c r="D262" i="2"/>
  <c r="D263" i="2" a="1"/>
  <c r="D263" i="2"/>
  <c r="D264" i="2" a="1"/>
  <c r="D264" i="2"/>
  <c r="D265" i="2" a="1"/>
  <c r="D265" i="2"/>
  <c r="D266" i="2" a="1"/>
  <c r="D266" i="2"/>
  <c r="D267" i="2" a="1"/>
  <c r="D267" i="2"/>
  <c r="D268" i="2" a="1"/>
  <c r="D268" i="2"/>
  <c r="D269" i="2" a="1"/>
  <c r="D269" i="2"/>
  <c r="D270" i="2" a="1"/>
  <c r="D270" i="2"/>
  <c r="D271" i="2" a="1"/>
  <c r="D271" i="2"/>
  <c r="D272" i="2" a="1"/>
  <c r="D272" i="2"/>
  <c r="D273" i="2" a="1"/>
  <c r="D273" i="2"/>
  <c r="D274" i="2" a="1"/>
  <c r="D274" i="2"/>
  <c r="D275" i="2" a="1"/>
  <c r="D275" i="2"/>
  <c r="D276" i="2" a="1"/>
  <c r="D276" i="2"/>
  <c r="D277" i="2" a="1"/>
  <c r="D277" i="2"/>
  <c r="D278" i="2" a="1"/>
  <c r="D278" i="2"/>
  <c r="D279" i="2" a="1"/>
  <c r="D279" i="2"/>
  <c r="D280" i="2" a="1"/>
  <c r="D280" i="2"/>
  <c r="D281" i="2" a="1"/>
  <c r="D281" i="2"/>
  <c r="D282" i="2" a="1"/>
  <c r="D282" i="2"/>
  <c r="D283" i="2" a="1"/>
  <c r="D283" i="2"/>
  <c r="D284" i="2" a="1"/>
  <c r="D284" i="2"/>
  <c r="D285" i="2" a="1"/>
  <c r="D285" i="2"/>
  <c r="D286" i="2" a="1"/>
  <c r="D286" i="2"/>
  <c r="D287" i="2" a="1"/>
  <c r="D287" i="2"/>
  <c r="D288" i="2" a="1"/>
  <c r="D288" i="2"/>
  <c r="D289" i="2" a="1"/>
  <c r="D289" i="2"/>
  <c r="D290" i="2" a="1"/>
  <c r="D290" i="2"/>
  <c r="D291" i="2" a="1"/>
  <c r="D291" i="2"/>
  <c r="D292" i="2" a="1"/>
  <c r="D292" i="2"/>
  <c r="D293" i="2" a="1"/>
  <c r="D293" i="2"/>
  <c r="D294" i="2" a="1"/>
  <c r="D294" i="2"/>
  <c r="D295" i="2" a="1"/>
  <c r="D295" i="2"/>
  <c r="D296" i="2" a="1"/>
  <c r="D296" i="2"/>
  <c r="D297" i="2" a="1"/>
  <c r="D297" i="2"/>
  <c r="D298" i="2" a="1"/>
  <c r="D298" i="2"/>
  <c r="D299" i="2" a="1"/>
  <c r="D299" i="2"/>
  <c r="D300" i="2" a="1"/>
  <c r="D300" i="2"/>
  <c r="D301" i="2" a="1"/>
  <c r="D301" i="2"/>
  <c r="D302" i="2" a="1"/>
  <c r="D302" i="2"/>
  <c r="D303" i="2" a="1"/>
  <c r="D303" i="2"/>
  <c r="D304" i="2" a="1"/>
  <c r="D304" i="2"/>
  <c r="D305" i="2" a="1"/>
  <c r="D305" i="2"/>
  <c r="D306" i="2" a="1"/>
  <c r="D306" i="2"/>
  <c r="D307" i="2" a="1"/>
  <c r="D307" i="2"/>
  <c r="D308" i="2" a="1"/>
  <c r="D308" i="2"/>
  <c r="D309" i="2" a="1"/>
  <c r="D309" i="2"/>
  <c r="D310" i="2" a="1"/>
  <c r="D310" i="2"/>
  <c r="D311" i="2" a="1"/>
  <c r="D311" i="2"/>
  <c r="D312" i="2" a="1"/>
  <c r="D312" i="2"/>
  <c r="D313" i="2" a="1"/>
  <c r="D313" i="2"/>
  <c r="D314" i="2" a="1"/>
  <c r="D314" i="2"/>
  <c r="D315" i="2" a="1"/>
  <c r="D315" i="2"/>
  <c r="D316" i="2" a="1"/>
  <c r="D316" i="2"/>
  <c r="D317" i="2" a="1"/>
  <c r="D317" i="2"/>
  <c r="D318" i="2" a="1"/>
  <c r="D318" i="2"/>
  <c r="D319" i="2" a="1"/>
  <c r="D319" i="2"/>
  <c r="D320" i="2" a="1"/>
  <c r="D320" i="2"/>
  <c r="D321" i="2" a="1"/>
  <c r="D321" i="2"/>
  <c r="D322" i="2" a="1"/>
  <c r="D322" i="2"/>
  <c r="D323" i="2" a="1"/>
  <c r="D323" i="2"/>
  <c r="D324" i="2" a="1"/>
  <c r="D324" i="2"/>
  <c r="D325" i="2" a="1"/>
  <c r="D325" i="2"/>
  <c r="D326" i="2" a="1"/>
  <c r="D326" i="2"/>
  <c r="D327" i="2" a="1"/>
  <c r="D327" i="2"/>
  <c r="D328" i="2" a="1"/>
  <c r="D328" i="2"/>
  <c r="D329" i="2" a="1"/>
  <c r="D329" i="2"/>
  <c r="D330" i="2" a="1"/>
  <c r="D330" i="2"/>
  <c r="D331" i="2" a="1"/>
  <c r="D331" i="2"/>
  <c r="D332" i="2" a="1"/>
  <c r="D332" i="2"/>
  <c r="D333" i="2" a="1"/>
  <c r="D333" i="2"/>
  <c r="D334" i="2" a="1"/>
  <c r="D334" i="2"/>
  <c r="D335" i="2" a="1"/>
  <c r="D335" i="2"/>
  <c r="D336" i="2" a="1"/>
  <c r="D336" i="2"/>
  <c r="D337" i="2" a="1"/>
  <c r="D337" i="2"/>
  <c r="D338" i="2" a="1"/>
  <c r="D338" i="2"/>
  <c r="D339" i="2" a="1"/>
  <c r="D339" i="2"/>
  <c r="D340" i="2" a="1"/>
  <c r="D340" i="2"/>
  <c r="D341" i="2" a="1"/>
  <c r="D341" i="2"/>
  <c r="D342" i="2" a="1"/>
  <c r="D342" i="2"/>
  <c r="D343" i="2" a="1"/>
  <c r="D343" i="2"/>
  <c r="D344" i="2" a="1"/>
  <c r="D344" i="2"/>
  <c r="D345" i="2" a="1"/>
  <c r="D345" i="2"/>
  <c r="D346" i="2" a="1"/>
  <c r="D346" i="2"/>
  <c r="D347" i="2" a="1"/>
  <c r="D347" i="2"/>
  <c r="D348" i="2" a="1"/>
  <c r="D348" i="2"/>
  <c r="D349" i="2" a="1"/>
  <c r="D349" i="2"/>
  <c r="D350" i="2" a="1"/>
  <c r="D350" i="2"/>
  <c r="D351" i="2" a="1"/>
  <c r="D351" i="2"/>
  <c r="D352" i="2" a="1"/>
  <c r="D352" i="2"/>
  <c r="D353" i="2" a="1"/>
  <c r="D353" i="2"/>
  <c r="D354" i="2" a="1"/>
  <c r="D354" i="2"/>
  <c r="D355" i="2" a="1"/>
  <c r="D355" i="2"/>
  <c r="D356" i="2" a="1"/>
  <c r="D356" i="2"/>
  <c r="D357" i="2" a="1"/>
  <c r="D357" i="2"/>
  <c r="D358" i="2" a="1"/>
  <c r="D358" i="2"/>
  <c r="D359" i="2" a="1"/>
  <c r="D359" i="2"/>
  <c r="D360" i="2" a="1"/>
  <c r="D360" i="2"/>
  <c r="D361" i="2" a="1"/>
  <c r="D361" i="2"/>
  <c r="D362" i="2" a="1"/>
  <c r="D362" i="2"/>
  <c r="D363" i="2" a="1"/>
  <c r="D363" i="2"/>
  <c r="D364" i="2" a="1"/>
  <c r="D364" i="2"/>
  <c r="D365" i="2" a="1"/>
  <c r="D365" i="2"/>
  <c r="D366" i="2" a="1"/>
  <c r="D366" i="2"/>
  <c r="D367" i="2" a="1"/>
  <c r="D367" i="2"/>
  <c r="D368" i="2" a="1"/>
  <c r="D368" i="2"/>
  <c r="D369" i="2" a="1"/>
  <c r="D369" i="2"/>
  <c r="D370" i="2" a="1"/>
  <c r="D370" i="2"/>
  <c r="D371" i="2" a="1"/>
  <c r="D371" i="2"/>
  <c r="D372" i="2" a="1"/>
  <c r="D372" i="2"/>
  <c r="D373" i="2" a="1"/>
  <c r="D373" i="2"/>
  <c r="D374" i="2" a="1"/>
  <c r="D374" i="2"/>
  <c r="D375" i="2" a="1"/>
  <c r="D375" i="2"/>
  <c r="D2" i="2" a="1"/>
  <c r="D2" i="2"/>
  <c r="N376" i="2"/>
  <c r="I376" i="2"/>
  <c r="H376" i="2"/>
  <c r="G376" i="2"/>
  <c r="F376" i="2"/>
  <c r="M388" i="2" l="1"/>
  <c r="M384" i="2"/>
  <c r="L388" i="2"/>
  <c r="L384" i="2"/>
  <c r="M376" i="2"/>
  <c r="O388" i="2"/>
  <c r="O384" i="2"/>
  <c r="N388" i="2"/>
  <c r="N384" i="2"/>
  <c r="L377" i="2"/>
  <c r="L376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<sst xmlns="http://schemas.openxmlformats.org/spreadsheetml/2006/main" count="3830" uniqueCount="94">
  <si>
    <t>Person ID</t>
  </si>
  <si>
    <t>Gender</t>
  </si>
  <si>
    <t>Age</t>
  </si>
  <si>
    <t>Occupation</t>
  </si>
  <si>
    <t>Sleep Duration</t>
  </si>
  <si>
    <t>Quality of Sleep</t>
  </si>
  <si>
    <t>Physical Activity Level</t>
  </si>
  <si>
    <t>Stress Level</t>
  </si>
  <si>
    <t>BMI Category</t>
  </si>
  <si>
    <t>Blood Pressure</t>
  </si>
  <si>
    <t>Heart Rate</t>
  </si>
  <si>
    <t>Daily Steps</t>
  </si>
  <si>
    <t>Sleep Disorder</t>
  </si>
  <si>
    <t>Male</t>
  </si>
  <si>
    <t>Software Engineer</t>
  </si>
  <si>
    <t>Overweight</t>
  </si>
  <si>
    <t>126/83</t>
  </si>
  <si>
    <t>None</t>
  </si>
  <si>
    <t>Doctor</t>
  </si>
  <si>
    <t>Normal</t>
  </si>
  <si>
    <t>125/80</t>
  </si>
  <si>
    <t>Sales Representative</t>
  </si>
  <si>
    <t>Obese</t>
  </si>
  <si>
    <t>140/90</t>
  </si>
  <si>
    <t>Sleep Apnea</t>
  </si>
  <si>
    <t>Insomnia</t>
  </si>
  <si>
    <t>Teacher</t>
  </si>
  <si>
    <t>120/80</t>
  </si>
  <si>
    <t>Female</t>
  </si>
  <si>
    <t>Nurse</t>
  </si>
  <si>
    <t>132/87</t>
  </si>
  <si>
    <t>130/86</t>
  </si>
  <si>
    <t>117/76</t>
  </si>
  <si>
    <t>Engineer</t>
  </si>
  <si>
    <t>Accountant</t>
  </si>
  <si>
    <t>118/76</t>
  </si>
  <si>
    <t>Scientist</t>
  </si>
  <si>
    <t>128/85</t>
  </si>
  <si>
    <t>131/86</t>
  </si>
  <si>
    <t>128/84</t>
  </si>
  <si>
    <t>115/75</t>
  </si>
  <si>
    <t>Lawyer</t>
  </si>
  <si>
    <t>135/88</t>
  </si>
  <si>
    <t>129/84</t>
  </si>
  <si>
    <t>130/85</t>
  </si>
  <si>
    <t>115/78</t>
  </si>
  <si>
    <t>119/77</t>
  </si>
  <si>
    <t>121/79</t>
  </si>
  <si>
    <t>125/82</t>
  </si>
  <si>
    <t>Salesperson</t>
  </si>
  <si>
    <t>135/90</t>
  </si>
  <si>
    <t>122/80</t>
  </si>
  <si>
    <t>Manager</t>
  </si>
  <si>
    <t>142/92</t>
  </si>
  <si>
    <t>140/95</t>
  </si>
  <si>
    <t>139/91</t>
  </si>
  <si>
    <t>118/75</t>
  </si>
  <si>
    <t>平均值 - Stress Level</t>
  </si>
  <si>
    <t>總計</t>
  </si>
  <si>
    <t>平均值 - Physical Activity Level</t>
  </si>
  <si>
    <t>Age Group</t>
  </si>
  <si>
    <t>Max Blood Pressure</t>
  </si>
  <si>
    <t>Min Blood Pressure</t>
  </si>
  <si>
    <t>sum Female</t>
  </si>
  <si>
    <t>sum male</t>
  </si>
  <si>
    <t>female sum sleep</t>
  </si>
  <si>
    <t>male sum sleep</t>
  </si>
  <si>
    <t>sum female pyshical level</t>
  </si>
  <si>
    <t>sum male pysical level</t>
  </si>
  <si>
    <t>sum female stress level</t>
  </si>
  <si>
    <t>sum male stress level</t>
  </si>
  <si>
    <t>sum female MAX blood pressure</t>
  </si>
  <si>
    <t>sum male MAX blood pressure</t>
  </si>
  <si>
    <t>sum female MINblood pressure</t>
  </si>
  <si>
    <t>sum male MIN blood pressure</t>
  </si>
  <si>
    <t>female avg sleep</t>
  </si>
  <si>
    <t>male avg sleep</t>
  </si>
  <si>
    <t>avg female pyshical level</t>
  </si>
  <si>
    <t>avg male physical level</t>
  </si>
  <si>
    <t>avg female stress level</t>
  </si>
  <si>
    <t>avg male stress level</t>
  </si>
  <si>
    <t>avg female MAX blood pressure</t>
  </si>
  <si>
    <t>avg male MAX blood pressure</t>
  </si>
  <si>
    <t>avg female MIN blood pressure</t>
  </si>
  <si>
    <t>avg male MIn blood pressure</t>
  </si>
  <si>
    <t>平均值 - Quality of Sleep</t>
  </si>
  <si>
    <t>Summary</t>
  </si>
  <si>
    <t>middle age</t>
  </si>
  <si>
    <t>middle age 合計</t>
  </si>
  <si>
    <t>old</t>
  </si>
  <si>
    <t>old 合計</t>
  </si>
  <si>
    <t>young</t>
  </si>
  <si>
    <t>young 合計</t>
  </si>
  <si>
    <t>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</si>
</sst>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20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Calibri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9" fillId="0" borderId="0" xfId="0" applyFont="1">
      <alignment vertical="center"/>
    </xf>
    <xf numFmtId="0" fontId="19" fillId="0" borderId="0" xfId="0" applyFont="1" applyAlignment="1">
      <alignment vertical="center" wrapText="1"/>
    </xf>
    <xf numFmtId="176" fontId="19" fillId="0" borderId="0" xfId="0" applyNumberFormat="1" applyFont="1">
      <alignment vertical="center"/>
    </xf>
    <xf numFmtId="0" fontId="19" fillId="33" borderId="0" xfId="0" applyFont="1" applyFill="1">
      <alignment vertical="center"/>
    </xf>
    <xf numFmtId="0" fontId="19" fillId="33" borderId="0" xfId="0" applyFont="1" applyFill="1" applyAlignment="1">
      <alignment vertical="center" wrapText="1"/>
    </xf>
    <xf numFmtId="176" fontId="19" fillId="33" borderId="0" xfId="0" applyNumberFormat="1" applyFont="1" applyFill="1">
      <alignment vertical="center"/>
    </xf>
    <xf numFmtId="0" fontId="19" fillId="34" borderId="0" xfId="0" applyFont="1" applyFill="1">
      <alignment vertical="center"/>
    </xf>
    <xf numFmtId="0" fontId="19" fillId="35" borderId="0" xfId="0" applyFont="1" applyFill="1">
      <alignment vertical="center"/>
    </xf>
    <xf numFmtId="2" fontId="19" fillId="35" borderId="0" xfId="0" applyNumberFormat="1" applyFont="1" applyFill="1">
      <alignment vertical="center"/>
    </xf>
    <xf numFmtId="2" fontId="19" fillId="34" borderId="0" xfId="0" applyNumberFormat="1" applyFont="1" applyFill="1">
      <alignment vertical="center"/>
    </xf>
    <xf numFmtId="2" fontId="19" fillId="0" borderId="0" xfId="0" applyNumberFormat="1" applyFont="1">
      <alignment vertical="center"/>
    </xf>
    <xf numFmtId="2" fontId="19" fillId="35" borderId="0" xfId="0" applyNumberFormat="1" applyFont="1" applyFill="1" applyAlignment="1">
      <alignment vertical="center" wrapText="1"/>
    </xf>
    <xf numFmtId="0" fontId="0" fillId="0" borderId="0" xfId="0" applyNumberFormat="1">
      <alignment vertical="center"/>
    </xf>
    <xf numFmtId="0" fontId="0" fillId="0" borderId="0" xfId="0" pivotButton="1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[Sleep_health_and_lifestyle_dataanalysis.xlsx]工作表1!樞紐分析表1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4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3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4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5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6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7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8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9"/>
        <c:spPr>
          <a:solidFill>
            <a:schemeClr val="accent1"/>
          </a:solidFill>
          <a:ln w="28575" cap="rnd">
            <a:noFill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2"/>
        <c:spPr>
          <a:solidFill>
            <a:schemeClr val="accent1"/>
          </a:solidFill>
          <a:ln w="25400" cap="rnd">
            <a:noFill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3"/>
        <c:spPr>
          <a:solidFill>
            <a:schemeClr val="accent1"/>
          </a:solidFill>
          <a:ln w="25400" cap="rnd">
            <a:noFill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4"/>
        <c:spPr>
          <a:solidFill>
            <a:schemeClr val="accent1"/>
          </a:solidFill>
          <a:ln w="25400" cap="rnd">
            <a:noFill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5"/>
        <c:spPr>
          <a:solidFill>
            <a:schemeClr val="accent1"/>
          </a:solidFill>
          <a:ln w="25400" cap="rnd">
            <a:noFill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6"/>
        <c:spPr>
          <a:solidFill>
            <a:schemeClr val="accent1"/>
          </a:solidFill>
          <a:ln w="25400" cap="rnd">
            <a:noFill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7"/>
        <c:spPr>
          <a:solidFill>
            <a:schemeClr val="accent1"/>
          </a:solidFill>
          <a:ln w="25400" cap="rnd">
            <a:noFill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3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工作表1!$B$3:$B$4</c:f>
              <c:strCache>
                <c:ptCount val="1"/>
                <c:pt idx="0">
                  <c:v>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工作表1!$A$5:$A$8</c:f>
              <c:strCache>
                <c:ptCount val="3"/>
                <c:pt idx="0">
                  <c:v>Normal</c:v>
                </c:pt>
                <c:pt idx="1">
                  <c:v>Obese</c:v>
                </c:pt>
                <c:pt idx="2">
                  <c:v>Overweight</c:v>
                </c:pt>
              </c:strCache>
            </c:strRef>
          </c:cat>
          <c:val>
            <c:numRef>
              <c:f>工作表1!$B$5:$B$8</c:f>
              <c:numCache>
                <c:formatCode>General</c:formatCode>
                <c:ptCount val="3"/>
                <c:pt idx="0">
                  <c:v>3</c:v>
                </c:pt>
                <c:pt idx="1">
                  <c:v>3</c:v>
                </c:pt>
                <c:pt idx="2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BF-48AF-BECF-5B9237E23787}"/>
            </c:ext>
          </c:extLst>
        </c:ser>
        <c:ser>
          <c:idx val="1"/>
          <c:order val="1"/>
          <c:tx>
            <c:strRef>
              <c:f>工作表1!$C$3:$C$4</c:f>
              <c:strCache>
                <c:ptCount val="1"/>
                <c:pt idx="0">
                  <c:v>4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工作表1!$A$5:$A$8</c:f>
              <c:strCache>
                <c:ptCount val="3"/>
                <c:pt idx="0">
                  <c:v>Normal</c:v>
                </c:pt>
                <c:pt idx="1">
                  <c:v>Obese</c:v>
                </c:pt>
                <c:pt idx="2">
                  <c:v>Overweight</c:v>
                </c:pt>
              </c:strCache>
            </c:strRef>
          </c:cat>
          <c:val>
            <c:numRef>
              <c:f>工作表1!$C$5:$C$8</c:f>
              <c:numCache>
                <c:formatCode>General</c:formatCode>
                <c:ptCount val="3"/>
                <c:pt idx="0">
                  <c:v>4</c:v>
                </c:pt>
                <c:pt idx="2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0BF-48AF-BECF-5B9237E23787}"/>
            </c:ext>
          </c:extLst>
        </c:ser>
        <c:ser>
          <c:idx val="2"/>
          <c:order val="2"/>
          <c:tx>
            <c:strRef>
              <c:f>工作表1!$D$3:$D$4</c:f>
              <c:strCache>
                <c:ptCount val="1"/>
                <c:pt idx="0">
                  <c:v>5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工作表1!$A$5:$A$8</c:f>
              <c:strCache>
                <c:ptCount val="3"/>
                <c:pt idx="0">
                  <c:v>Normal</c:v>
                </c:pt>
                <c:pt idx="1">
                  <c:v>Obese</c:v>
                </c:pt>
                <c:pt idx="2">
                  <c:v>Overweight</c:v>
                </c:pt>
              </c:strCache>
            </c:strRef>
          </c:cat>
          <c:val>
            <c:numRef>
              <c:f>工作表1!$D$5:$D$8</c:f>
              <c:numCache>
                <c:formatCode>General</c:formatCode>
                <c:ptCount val="3"/>
                <c:pt idx="0">
                  <c:v>5</c:v>
                </c:pt>
                <c:pt idx="1">
                  <c:v>5</c:v>
                </c:pt>
                <c:pt idx="2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0BF-48AF-BECF-5B9237E23787}"/>
            </c:ext>
          </c:extLst>
        </c:ser>
        <c:ser>
          <c:idx val="3"/>
          <c:order val="3"/>
          <c:tx>
            <c:strRef>
              <c:f>工作表1!$E$3:$E$4</c:f>
              <c:strCache>
                <c:ptCount val="1"/>
                <c:pt idx="0">
                  <c:v>6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工作表1!$A$5:$A$8</c:f>
              <c:strCache>
                <c:ptCount val="3"/>
                <c:pt idx="0">
                  <c:v>Normal</c:v>
                </c:pt>
                <c:pt idx="1">
                  <c:v>Obese</c:v>
                </c:pt>
                <c:pt idx="2">
                  <c:v>Overweight</c:v>
                </c:pt>
              </c:strCache>
            </c:strRef>
          </c:cat>
          <c:val>
            <c:numRef>
              <c:f>工作表1!$E$5:$E$8</c:f>
              <c:numCache>
                <c:formatCode>General</c:formatCode>
                <c:ptCount val="3"/>
                <c:pt idx="0">
                  <c:v>6</c:v>
                </c:pt>
                <c:pt idx="2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0BF-48AF-BECF-5B9237E23787}"/>
            </c:ext>
          </c:extLst>
        </c:ser>
        <c:ser>
          <c:idx val="4"/>
          <c:order val="4"/>
          <c:tx>
            <c:strRef>
              <c:f>工作表1!$F$3:$F$4</c:f>
              <c:strCache>
                <c:ptCount val="1"/>
                <c:pt idx="0">
                  <c:v>7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工作表1!$A$5:$A$8</c:f>
              <c:strCache>
                <c:ptCount val="3"/>
                <c:pt idx="0">
                  <c:v>Normal</c:v>
                </c:pt>
                <c:pt idx="1">
                  <c:v>Obese</c:v>
                </c:pt>
                <c:pt idx="2">
                  <c:v>Overweight</c:v>
                </c:pt>
              </c:strCache>
            </c:strRef>
          </c:cat>
          <c:val>
            <c:numRef>
              <c:f>工作表1!$F$5:$F$8</c:f>
              <c:numCache>
                <c:formatCode>General</c:formatCode>
                <c:ptCount val="3"/>
                <c:pt idx="0">
                  <c:v>7</c:v>
                </c:pt>
                <c:pt idx="1">
                  <c:v>7</c:v>
                </c:pt>
                <c:pt idx="2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0BF-48AF-BECF-5B9237E23787}"/>
            </c:ext>
          </c:extLst>
        </c:ser>
        <c:ser>
          <c:idx val="5"/>
          <c:order val="5"/>
          <c:tx>
            <c:strRef>
              <c:f>工作表1!$G$3:$G$4</c:f>
              <c:strCache>
                <c:ptCount val="1"/>
                <c:pt idx="0">
                  <c:v>8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工作表1!$A$5:$A$8</c:f>
              <c:strCache>
                <c:ptCount val="3"/>
                <c:pt idx="0">
                  <c:v>Normal</c:v>
                </c:pt>
                <c:pt idx="1">
                  <c:v>Obese</c:v>
                </c:pt>
                <c:pt idx="2">
                  <c:v>Overweight</c:v>
                </c:pt>
              </c:strCache>
            </c:strRef>
          </c:cat>
          <c:val>
            <c:numRef>
              <c:f>工作表1!$G$5:$G$8</c:f>
              <c:numCache>
                <c:formatCode>General</c:formatCode>
                <c:ptCount val="3"/>
                <c:pt idx="0">
                  <c:v>8</c:v>
                </c:pt>
                <c:pt idx="1">
                  <c:v>8</c:v>
                </c:pt>
                <c:pt idx="2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50BF-48AF-BECF-5B9237E237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0006024"/>
        <c:axId val="170008072"/>
      </c:lineChart>
      <c:catAx>
        <c:axId val="1700060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Age Group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008072"/>
        <c:crosses val="autoZero"/>
        <c:auto val="1"/>
        <c:lblAlgn val="ctr"/>
        <c:lblOffset val="100"/>
        <c:noMultiLvlLbl val="0"/>
      </c:catAx>
      <c:valAx>
        <c:axId val="170008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Sleep Duration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006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642676343115808"/>
          <c:y val="0.93762748981530686"/>
          <c:w val="0.31550743153653549"/>
          <c:h val="5.10207652614851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[Sleep_health_and_lifestyle_dataanalysis.xlsx]工作表2!樞紐分析表2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Stress and Physical Level among BMI Groups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dot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工作表2!$B$3</c:f>
              <c:strCache>
                <c:ptCount val="1"/>
                <c:pt idx="0">
                  <c:v>平均值 - Physical Activity Level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工作表2!$A$4:$A$7</c:f>
              <c:strCache>
                <c:ptCount val="3"/>
                <c:pt idx="0">
                  <c:v>Normal</c:v>
                </c:pt>
                <c:pt idx="1">
                  <c:v>Obese</c:v>
                </c:pt>
                <c:pt idx="2">
                  <c:v>Overweight</c:v>
                </c:pt>
              </c:strCache>
            </c:strRef>
          </c:cat>
          <c:val>
            <c:numRef>
              <c:f>工作表2!$B$4:$B$7</c:f>
              <c:numCache>
                <c:formatCode>General</c:formatCode>
                <c:ptCount val="3"/>
                <c:pt idx="0">
                  <c:v>57.949074074074076</c:v>
                </c:pt>
                <c:pt idx="1">
                  <c:v>55</c:v>
                </c:pt>
                <c:pt idx="2">
                  <c:v>61.236486486486484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55-4DFA-BDB9-4C9EF8D35D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9197192"/>
        <c:axId val="39199752"/>
      </c:barChart>
      <c:lineChart>
        <c:grouping val="standard"/>
        <c:varyColors val="0"/>
        <c:ser>
          <c:idx val="1"/>
          <c:order val="1"/>
          <c:tx>
            <c:strRef>
              <c:f>工作表2!$C$3</c:f>
              <c:strCache>
                <c:ptCount val="1"/>
                <c:pt idx="0">
                  <c:v>平均值 - Stress Level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dot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工作表2!$A$4:$A$7</c:f>
              <c:strCache>
                <c:ptCount val="3"/>
                <c:pt idx="0">
                  <c:v>Normal</c:v>
                </c:pt>
                <c:pt idx="1">
                  <c:v>Obese</c:v>
                </c:pt>
                <c:pt idx="2">
                  <c:v>Overweight</c:v>
                </c:pt>
              </c:strCache>
            </c:strRef>
          </c:cat>
          <c:val>
            <c:numRef>
              <c:f>工作表2!$C$4:$C$7</c:f>
              <c:numCache>
                <c:formatCode>General</c:formatCode>
                <c:ptCount val="3"/>
                <c:pt idx="0">
                  <c:v>5.1342592592592595</c:v>
                </c:pt>
                <c:pt idx="1">
                  <c:v>5.7</c:v>
                </c:pt>
                <c:pt idx="2">
                  <c:v>5.7297297297297298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9155-4DFA-BDB9-4C9EF8D35D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54759688"/>
        <c:axId val="954756616"/>
      </c:lineChart>
      <c:catAx>
        <c:axId val="39197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199752"/>
        <c:crosses val="autoZero"/>
        <c:auto val="1"/>
        <c:lblAlgn val="ctr"/>
        <c:lblOffset val="100"/>
        <c:noMultiLvlLbl val="0"/>
      </c:catAx>
      <c:valAx>
        <c:axId val="39199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Physical Activity Level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197192"/>
        <c:crosses val="autoZero"/>
        <c:crossBetween val="between"/>
      </c:valAx>
      <c:valAx>
        <c:axId val="954756616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Stress Level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4759688"/>
        <c:crosses val="max"/>
        <c:crossBetween val="between"/>
      </c:valAx>
      <c:catAx>
        <c:axId val="954759688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BMI Group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95475661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5011437206712797"/>
          <c:y val="0.37983668708078161"/>
          <c:w val="0.32968360773085181"/>
          <c:h val="0.2569466316710410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[Sleep_health_and_lifestyle_dataanalysis.xlsx]chart1!樞紐分析表1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Sleep Quality and Stress Level</a:t>
            </a:r>
          </a:p>
        </c:rich>
      </c:tx>
      <c:layout>
        <c:manualLayout>
          <c:xMode val="edge"/>
          <c:yMode val="edge"/>
          <c:x val="0.29360012351397252"/>
          <c:y val="3.133159268929503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chart1!$B$3:$B$4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chart1!$A$5:$A$11</c:f>
              <c:strCache>
                <c:ptCount val="6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</c:strCache>
            </c:strRef>
          </c:cat>
          <c:val>
            <c:numRef>
              <c:f>chart1!$B$5:$B$11</c:f>
              <c:numCache>
                <c:formatCode>General</c:formatCode>
                <c:ptCount val="6"/>
                <c:pt idx="0">
                  <c:v>9</c:v>
                </c:pt>
                <c:pt idx="1">
                  <c:v>7.6229508196721314</c:v>
                </c:pt>
                <c:pt idx="2">
                  <c:v>7</c:v>
                </c:pt>
                <c:pt idx="3">
                  <c:v>6.8888888888888893</c:v>
                </c:pt>
                <c:pt idx="4">
                  <c:v>6.166666666666667</c:v>
                </c:pt>
                <c:pt idx="5">
                  <c:v>5.882352941176471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F92-412C-A418-22B0C14AD503}"/>
            </c:ext>
          </c:extLst>
        </c:ser>
        <c:ser>
          <c:idx val="1"/>
          <c:order val="1"/>
          <c:tx>
            <c:strRef>
              <c:f>chart1!$C$3:$C$4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chart1!$A$5:$A$11</c:f>
              <c:strCache>
                <c:ptCount val="6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</c:strCache>
            </c:strRef>
          </c:cat>
          <c:val>
            <c:numRef>
              <c:f>chart1!$C$5:$C$11</c:f>
              <c:numCache>
                <c:formatCode>General</c:formatCode>
                <c:ptCount val="6"/>
                <c:pt idx="0">
                  <c:v>8.5</c:v>
                </c:pt>
                <c:pt idx="1">
                  <c:v>8</c:v>
                </c:pt>
                <c:pt idx="2">
                  <c:v>7.9230769230769234</c:v>
                </c:pt>
                <c:pt idx="3">
                  <c:v>7.0270270270270272</c:v>
                </c:pt>
                <c:pt idx="4">
                  <c:v>5.9473684210526319</c:v>
                </c:pt>
                <c:pt idx="5">
                  <c:v>5.833333333333333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8CCA-46B7-866C-ABC1892DE5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40926984"/>
        <c:axId val="340929544"/>
      </c:barChart>
      <c:catAx>
        <c:axId val="3409269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Stress Level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0929544"/>
        <c:crosses val="autoZero"/>
        <c:auto val="1"/>
        <c:lblAlgn val="ctr"/>
        <c:lblOffset val="100"/>
        <c:noMultiLvlLbl val="0"/>
      </c:catAx>
      <c:valAx>
        <c:axId val="340929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Quality of sleep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0926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6108073848723454"/>
          <c:y val="0.89947739561275475"/>
          <c:w val="0.17474474514215135"/>
          <c:h val="5.87471474681852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[Sleep_health_and_lifestyle_dataanalysis.xlsx]chart2!樞紐分析表2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Age, Gender, Pysical Activity Level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3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3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3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3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3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3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4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4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4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4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4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4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4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4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4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4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5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6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7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7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7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7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7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7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7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7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7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7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8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8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8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8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8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8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8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8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1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2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6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3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3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3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36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7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8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9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0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1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2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3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4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5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6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7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8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9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0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1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2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3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4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5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6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7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8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9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0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6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6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6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6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6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6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6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6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7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7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7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7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7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7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7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7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7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60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60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6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0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0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0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0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0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0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0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0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chart2!$B$4:$B$6</c:f>
              <c:strCache>
                <c:ptCount val="1"/>
                <c:pt idx="0">
                  <c:v>middle age - Female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chart2!$A$7:$A$13</c:f>
              <c:strCache>
                <c:ptCount val="6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  <c:pt idx="5">
                  <c:v>9</c:v>
                </c:pt>
              </c:strCache>
            </c:strRef>
          </c:cat>
          <c:val>
            <c:numRef>
              <c:f>chart2!$B$7:$B$13</c:f>
              <c:numCache>
                <c:formatCode>General</c:formatCode>
                <c:ptCount val="6"/>
                <c:pt idx="2">
                  <c:v>79.384615384615387</c:v>
                </c:pt>
                <c:pt idx="3">
                  <c:v>45</c:v>
                </c:pt>
                <c:pt idx="4">
                  <c:v>59.714285714285715</c:v>
                </c:pt>
                <c:pt idx="5">
                  <c:v>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5-6D22-4380-BD27-E767CB450628}"/>
            </c:ext>
          </c:extLst>
        </c:ser>
        <c:ser>
          <c:idx val="1"/>
          <c:order val="1"/>
          <c:tx>
            <c:strRef>
              <c:f>chart2!$C$4:$C$6</c:f>
              <c:strCache>
                <c:ptCount val="1"/>
                <c:pt idx="0">
                  <c:v>middle age - Male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chart2!$A$7:$A$13</c:f>
              <c:strCache>
                <c:ptCount val="6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  <c:pt idx="5">
                  <c:v>9</c:v>
                </c:pt>
              </c:strCache>
            </c:strRef>
          </c:cat>
          <c:val>
            <c:numRef>
              <c:f>chart2!$C$7:$C$13</c:f>
              <c:numCache>
                <c:formatCode>General</c:formatCode>
                <c:ptCount val="6"/>
                <c:pt idx="1">
                  <c:v>36.666666666666664</c:v>
                </c:pt>
                <c:pt idx="2">
                  <c:v>45.060606060606062</c:v>
                </c:pt>
                <c:pt idx="3">
                  <c:v>53.125</c:v>
                </c:pt>
                <c:pt idx="4">
                  <c:v>74.785714285714292</c:v>
                </c:pt>
                <c:pt idx="5">
                  <c:v>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6D22-4380-BD27-E767CB450628}"/>
            </c:ext>
          </c:extLst>
        </c:ser>
        <c:ser>
          <c:idx val="2"/>
          <c:order val="2"/>
          <c:tx>
            <c:strRef>
              <c:f>chart2!$E$4:$E$6</c:f>
              <c:strCache>
                <c:ptCount val="1"/>
                <c:pt idx="0">
                  <c:v>old - Female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chart2!$A$7:$A$13</c:f>
              <c:strCache>
                <c:ptCount val="6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  <c:pt idx="5">
                  <c:v>9</c:v>
                </c:pt>
              </c:strCache>
            </c:strRef>
          </c:cat>
          <c:val>
            <c:numRef>
              <c:f>chart2!$E$7:$E$13</c:f>
              <c:numCache>
                <c:formatCode>General</c:formatCode>
                <c:ptCount val="6"/>
                <c:pt idx="2">
                  <c:v>90</c:v>
                </c:pt>
                <c:pt idx="3">
                  <c:v>46.428571428571431</c:v>
                </c:pt>
                <c:pt idx="5">
                  <c:v>53.955223880597018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5E6-4C9C-BAD1-3FDECEF24C75}"/>
            </c:ext>
          </c:extLst>
        </c:ser>
        <c:ser>
          <c:idx val="3"/>
          <c:order val="3"/>
          <c:tx>
            <c:strRef>
              <c:f>chart2!$G$4:$G$6</c:f>
              <c:strCache>
                <c:ptCount val="1"/>
                <c:pt idx="0">
                  <c:v>young - Female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chart2!$A$7:$A$13</c:f>
              <c:strCache>
                <c:ptCount val="6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  <c:pt idx="5">
                  <c:v>9</c:v>
                </c:pt>
              </c:strCache>
            </c:strRef>
          </c:cat>
          <c:val>
            <c:numRef>
              <c:f>chart2!$G$7:$G$13</c:f>
              <c:numCache>
                <c:formatCode>General</c:formatCode>
                <c:ptCount val="6"/>
                <c:pt idx="0">
                  <c:v>32</c:v>
                </c:pt>
                <c:pt idx="1">
                  <c:v>37.5</c:v>
                </c:pt>
                <c:pt idx="2">
                  <c:v>50</c:v>
                </c:pt>
                <c:pt idx="4">
                  <c:v>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5E6-4C9C-BAD1-3FDECEF24C75}"/>
            </c:ext>
          </c:extLst>
        </c:ser>
        <c:ser>
          <c:idx val="4"/>
          <c:order val="4"/>
          <c:tx>
            <c:strRef>
              <c:f>chart2!$H$4:$H$6</c:f>
              <c:strCache>
                <c:ptCount val="1"/>
                <c:pt idx="0">
                  <c:v>young - Male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chart2!$A$7:$A$13</c:f>
              <c:strCache>
                <c:ptCount val="6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  <c:pt idx="5">
                  <c:v>9</c:v>
                </c:pt>
              </c:strCache>
            </c:strRef>
          </c:cat>
          <c:val>
            <c:numRef>
              <c:f>chart2!$H$7:$H$13</c:f>
              <c:numCache>
                <c:formatCode>General</c:formatCode>
                <c:ptCount val="6"/>
                <c:pt idx="0">
                  <c:v>30</c:v>
                </c:pt>
                <c:pt idx="2">
                  <c:v>32.342857142857142</c:v>
                </c:pt>
                <c:pt idx="3">
                  <c:v>75</c:v>
                </c:pt>
                <c:pt idx="4">
                  <c:v>46.666666666666664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5E6-4C9C-BAD1-3FDECEF24C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0828680"/>
        <c:axId val="340972552"/>
      </c:lineChart>
      <c:valAx>
        <c:axId val="340972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physical activity level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0828680"/>
        <c:crosses val="autoZero"/>
        <c:crossBetween val="between"/>
      </c:valAx>
      <c:catAx>
        <c:axId val="3408286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Quality of sleep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097255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[Sleep_health_and_lifestyle_dataanalysis.xlsx]chart1!樞紐分析表1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Sleep Quality and Stress Level</a:t>
            </a:r>
          </a:p>
        </c:rich>
      </c:tx>
      <c:layout>
        <c:manualLayout>
          <c:xMode val="edge"/>
          <c:yMode val="edge"/>
          <c:x val="0.29360012351397252"/>
          <c:y val="3.133159268929503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chart1!$B$3:$B$4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chart1!$A$5:$A$11</c:f>
              <c:strCache>
                <c:ptCount val="6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</c:strCache>
            </c:strRef>
          </c:cat>
          <c:val>
            <c:numRef>
              <c:f>chart1!$B$5:$B$11</c:f>
              <c:numCache>
                <c:formatCode>General</c:formatCode>
                <c:ptCount val="6"/>
                <c:pt idx="0">
                  <c:v>9</c:v>
                </c:pt>
                <c:pt idx="1">
                  <c:v>7.6229508196721314</c:v>
                </c:pt>
                <c:pt idx="2">
                  <c:v>7</c:v>
                </c:pt>
                <c:pt idx="3">
                  <c:v>6.8888888888888893</c:v>
                </c:pt>
                <c:pt idx="4">
                  <c:v>6.166666666666667</c:v>
                </c:pt>
                <c:pt idx="5">
                  <c:v>5.882352941176471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6A-484B-AA6F-30844F50701A}"/>
            </c:ext>
          </c:extLst>
        </c:ser>
        <c:ser>
          <c:idx val="1"/>
          <c:order val="1"/>
          <c:tx>
            <c:strRef>
              <c:f>chart1!$C$3:$C$4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chart1!$A$5:$A$11</c:f>
              <c:strCache>
                <c:ptCount val="6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</c:strCache>
            </c:strRef>
          </c:cat>
          <c:val>
            <c:numRef>
              <c:f>chart1!$C$5:$C$11</c:f>
              <c:numCache>
                <c:formatCode>General</c:formatCode>
                <c:ptCount val="6"/>
                <c:pt idx="0">
                  <c:v>8.5</c:v>
                </c:pt>
                <c:pt idx="1">
                  <c:v>8</c:v>
                </c:pt>
                <c:pt idx="2">
                  <c:v>7.9230769230769234</c:v>
                </c:pt>
                <c:pt idx="3">
                  <c:v>7.0270270270270272</c:v>
                </c:pt>
                <c:pt idx="4">
                  <c:v>5.9473684210526319</c:v>
                </c:pt>
                <c:pt idx="5">
                  <c:v>5.833333333333333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24D7-424A-8130-96AF1FF079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40926984"/>
        <c:axId val="340929544"/>
      </c:barChart>
      <c:catAx>
        <c:axId val="3409269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Stress Level</a:t>
                </a:r>
              </a:p>
            </c:rich>
          </c:tx>
          <c:layout>
            <c:manualLayout>
              <c:xMode val="edge"/>
              <c:yMode val="edge"/>
              <c:x val="0.40326649826211158"/>
              <c:y val="0.8452230044773817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0929544"/>
        <c:crosses val="autoZero"/>
        <c:auto val="1"/>
        <c:lblAlgn val="ctr"/>
        <c:lblOffset val="100"/>
        <c:noMultiLvlLbl val="0"/>
      </c:catAx>
      <c:valAx>
        <c:axId val="340929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Quality of sleep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0926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7887610069502564"/>
          <c:y val="0.90830095723328719"/>
          <c:w val="0.17474474514215135"/>
          <c:h val="5.87471474681852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[Sleep_health_and_lifestyle_dataanalysis.xlsx]chart2!樞紐分析表2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Age, Gender, Pysical Activity Level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3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3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3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3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3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3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4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4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4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4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4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4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4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4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4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4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5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6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7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7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7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7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7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7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7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7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7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7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8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8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8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8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8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8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8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8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1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2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6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3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3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3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36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7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8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9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0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1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2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3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4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5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6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7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8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9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0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1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2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3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4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5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6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7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8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9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0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6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6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6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6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6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6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6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6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7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7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7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7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7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7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7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7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7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60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60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6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0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0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0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0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0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0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0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0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73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74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chart2!$B$4:$B$6</c:f>
              <c:strCache>
                <c:ptCount val="1"/>
                <c:pt idx="0">
                  <c:v>middle age - Female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chart2!$A$7:$A$13</c:f>
              <c:strCache>
                <c:ptCount val="6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  <c:pt idx="5">
                  <c:v>9</c:v>
                </c:pt>
              </c:strCache>
            </c:strRef>
          </c:cat>
          <c:val>
            <c:numRef>
              <c:f>chart2!$B$7:$B$13</c:f>
              <c:numCache>
                <c:formatCode>General</c:formatCode>
                <c:ptCount val="6"/>
                <c:pt idx="2">
                  <c:v>79.384615384615387</c:v>
                </c:pt>
                <c:pt idx="3">
                  <c:v>45</c:v>
                </c:pt>
                <c:pt idx="4">
                  <c:v>59.714285714285715</c:v>
                </c:pt>
                <c:pt idx="5">
                  <c:v>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45-47C2-872B-8653C4B54029}"/>
            </c:ext>
          </c:extLst>
        </c:ser>
        <c:ser>
          <c:idx val="1"/>
          <c:order val="1"/>
          <c:tx>
            <c:strRef>
              <c:f>chart2!$C$4:$C$6</c:f>
              <c:strCache>
                <c:ptCount val="1"/>
                <c:pt idx="0">
                  <c:v>middle age - Male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chart2!$A$7:$A$13</c:f>
              <c:strCache>
                <c:ptCount val="6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  <c:pt idx="5">
                  <c:v>9</c:v>
                </c:pt>
              </c:strCache>
            </c:strRef>
          </c:cat>
          <c:val>
            <c:numRef>
              <c:f>chart2!$C$7:$C$13</c:f>
              <c:numCache>
                <c:formatCode>General</c:formatCode>
                <c:ptCount val="6"/>
                <c:pt idx="1">
                  <c:v>36.666666666666664</c:v>
                </c:pt>
                <c:pt idx="2">
                  <c:v>45.060606060606062</c:v>
                </c:pt>
                <c:pt idx="3">
                  <c:v>53.125</c:v>
                </c:pt>
                <c:pt idx="4">
                  <c:v>74.785714285714292</c:v>
                </c:pt>
                <c:pt idx="5">
                  <c:v>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845-47C2-872B-8653C4B54029}"/>
            </c:ext>
          </c:extLst>
        </c:ser>
        <c:ser>
          <c:idx val="2"/>
          <c:order val="2"/>
          <c:tx>
            <c:strRef>
              <c:f>chart2!$E$4:$E$6</c:f>
              <c:strCache>
                <c:ptCount val="1"/>
                <c:pt idx="0">
                  <c:v>old - Female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chart2!$A$7:$A$13</c:f>
              <c:strCache>
                <c:ptCount val="6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  <c:pt idx="5">
                  <c:v>9</c:v>
                </c:pt>
              </c:strCache>
            </c:strRef>
          </c:cat>
          <c:val>
            <c:numRef>
              <c:f>chart2!$E$7:$E$13</c:f>
              <c:numCache>
                <c:formatCode>General</c:formatCode>
                <c:ptCount val="6"/>
                <c:pt idx="2">
                  <c:v>90</c:v>
                </c:pt>
                <c:pt idx="3">
                  <c:v>46.428571428571431</c:v>
                </c:pt>
                <c:pt idx="5">
                  <c:v>53.955223880597018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81A-4EB6-ACE3-AB1F118D407A}"/>
            </c:ext>
          </c:extLst>
        </c:ser>
        <c:ser>
          <c:idx val="3"/>
          <c:order val="3"/>
          <c:tx>
            <c:strRef>
              <c:f>chart2!$G$4:$G$6</c:f>
              <c:strCache>
                <c:ptCount val="1"/>
                <c:pt idx="0">
                  <c:v>young - Female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chart2!$A$7:$A$13</c:f>
              <c:strCache>
                <c:ptCount val="6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  <c:pt idx="5">
                  <c:v>9</c:v>
                </c:pt>
              </c:strCache>
            </c:strRef>
          </c:cat>
          <c:val>
            <c:numRef>
              <c:f>chart2!$G$7:$G$13</c:f>
              <c:numCache>
                <c:formatCode>General</c:formatCode>
                <c:ptCount val="6"/>
                <c:pt idx="0">
                  <c:v>32</c:v>
                </c:pt>
                <c:pt idx="1">
                  <c:v>37.5</c:v>
                </c:pt>
                <c:pt idx="2">
                  <c:v>50</c:v>
                </c:pt>
                <c:pt idx="4">
                  <c:v>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81A-4EB6-ACE3-AB1F118D407A}"/>
            </c:ext>
          </c:extLst>
        </c:ser>
        <c:ser>
          <c:idx val="4"/>
          <c:order val="4"/>
          <c:tx>
            <c:strRef>
              <c:f>chart2!$H$4:$H$6</c:f>
              <c:strCache>
                <c:ptCount val="1"/>
                <c:pt idx="0">
                  <c:v>young - Male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chart2!$A$7:$A$13</c:f>
              <c:strCache>
                <c:ptCount val="6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  <c:pt idx="5">
                  <c:v>9</c:v>
                </c:pt>
              </c:strCache>
            </c:strRef>
          </c:cat>
          <c:val>
            <c:numRef>
              <c:f>chart2!$H$7:$H$13</c:f>
              <c:numCache>
                <c:formatCode>General</c:formatCode>
                <c:ptCount val="6"/>
                <c:pt idx="0">
                  <c:v>30</c:v>
                </c:pt>
                <c:pt idx="2">
                  <c:v>32.342857142857142</c:v>
                </c:pt>
                <c:pt idx="3">
                  <c:v>75</c:v>
                </c:pt>
                <c:pt idx="4">
                  <c:v>46.666666666666664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81A-4EB6-ACE3-AB1F118D40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0828680"/>
        <c:axId val="340972552"/>
      </c:lineChart>
      <c:valAx>
        <c:axId val="340972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physical activity level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0828680"/>
        <c:crosses val="autoZero"/>
        <c:crossBetween val="between"/>
      </c:valAx>
      <c:catAx>
        <c:axId val="3408286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Quality of sleep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097255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Sleep Duration and Quality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formula!$F$1</c:f>
              <c:strCache>
                <c:ptCount val="1"/>
                <c:pt idx="0">
                  <c:v>Sleep Duration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multiLvlStrRef>
              <c:f>formula!$D$2:$E$375</c:f>
              <c:multiLvlStrCache>
                <c:ptCount val="374"/>
                <c:lvl>
                  <c:pt idx="0">
                    <c:v>Software Engineer</c:v>
                  </c:pt>
                  <c:pt idx="1">
                    <c:v>Doctor</c:v>
                  </c:pt>
                  <c:pt idx="2">
                    <c:v>Doctor</c:v>
                  </c:pt>
                  <c:pt idx="3">
                    <c:v>Sales Representative</c:v>
                  </c:pt>
                  <c:pt idx="4">
                    <c:v>Sales Representative</c:v>
                  </c:pt>
                  <c:pt idx="5">
                    <c:v>Software Engineer</c:v>
                  </c:pt>
                  <c:pt idx="6">
                    <c:v>Teacher</c:v>
                  </c:pt>
                  <c:pt idx="7">
                    <c:v>Doctor</c:v>
                  </c:pt>
                  <c:pt idx="8">
                    <c:v>Doctor</c:v>
                  </c:pt>
                  <c:pt idx="9">
                    <c:v>Doctor</c:v>
                  </c:pt>
                  <c:pt idx="10">
                    <c:v>Doctor</c:v>
                  </c:pt>
                  <c:pt idx="11">
                    <c:v>Doctor</c:v>
                  </c:pt>
                  <c:pt idx="12">
                    <c:v>Doctor</c:v>
                  </c:pt>
                  <c:pt idx="13">
                    <c:v>Doctor</c:v>
                  </c:pt>
                  <c:pt idx="14">
                    <c:v>Doctor</c:v>
                  </c:pt>
                  <c:pt idx="15">
                    <c:v>Doctor</c:v>
                  </c:pt>
                  <c:pt idx="16">
                    <c:v>Nurse</c:v>
                  </c:pt>
                  <c:pt idx="17">
                    <c:v>Doctor</c:v>
                  </c:pt>
                  <c:pt idx="18">
                    <c:v>Nurse</c:v>
                  </c:pt>
                  <c:pt idx="19">
                    <c:v>Doctor</c:v>
                  </c:pt>
                  <c:pt idx="20">
                    <c:v>Doctor</c:v>
                  </c:pt>
                  <c:pt idx="21">
                    <c:v>Doctor</c:v>
                  </c:pt>
                  <c:pt idx="22">
                    <c:v>Doctor</c:v>
                  </c:pt>
                  <c:pt idx="23">
                    <c:v>Doctor</c:v>
                  </c:pt>
                  <c:pt idx="24">
                    <c:v>Doctor</c:v>
                  </c:pt>
                  <c:pt idx="25">
                    <c:v>Doctor</c:v>
                  </c:pt>
                  <c:pt idx="26">
                    <c:v>Doctor</c:v>
                  </c:pt>
                  <c:pt idx="27">
                    <c:v>Doctor</c:v>
                  </c:pt>
                  <c:pt idx="28">
                    <c:v>Doctor</c:v>
                  </c:pt>
                  <c:pt idx="29">
                    <c:v>Doctor</c:v>
                  </c:pt>
                  <c:pt idx="30">
                    <c:v>Nurse</c:v>
                  </c:pt>
                  <c:pt idx="31">
                    <c:v>Nurse</c:v>
                  </c:pt>
                  <c:pt idx="32">
                    <c:v>Nurse</c:v>
                  </c:pt>
                  <c:pt idx="33">
                    <c:v>Doctor</c:v>
                  </c:pt>
                  <c:pt idx="34">
                    <c:v>Doctor</c:v>
                  </c:pt>
                  <c:pt idx="35">
                    <c:v>Doctor</c:v>
                  </c:pt>
                  <c:pt idx="36">
                    <c:v>Doctor</c:v>
                  </c:pt>
                  <c:pt idx="37">
                    <c:v>Doctor</c:v>
                  </c:pt>
                  <c:pt idx="38">
                    <c:v>Doctor</c:v>
                  </c:pt>
                  <c:pt idx="39">
                    <c:v>Doctor</c:v>
                  </c:pt>
                  <c:pt idx="40">
                    <c:v>Doctor</c:v>
                  </c:pt>
                  <c:pt idx="41">
                    <c:v>Doctor</c:v>
                  </c:pt>
                  <c:pt idx="42">
                    <c:v>Doctor</c:v>
                  </c:pt>
                  <c:pt idx="43">
                    <c:v>Doctor</c:v>
                  </c:pt>
                  <c:pt idx="44">
                    <c:v>Doctor</c:v>
                  </c:pt>
                  <c:pt idx="45">
                    <c:v>Doctor</c:v>
                  </c:pt>
                  <c:pt idx="46">
                    <c:v>Doctor</c:v>
                  </c:pt>
                  <c:pt idx="47">
                    <c:v>Doctor</c:v>
                  </c:pt>
                  <c:pt idx="48">
                    <c:v>Doctor</c:v>
                  </c:pt>
                  <c:pt idx="49">
                    <c:v>Doctor</c:v>
                  </c:pt>
                  <c:pt idx="50">
                    <c:v>Engineer</c:v>
                  </c:pt>
                  <c:pt idx="51">
                    <c:v>Engineer</c:v>
                  </c:pt>
                  <c:pt idx="52">
                    <c:v>Doctor</c:v>
                  </c:pt>
                  <c:pt idx="53">
                    <c:v>Doctor</c:v>
                  </c:pt>
                  <c:pt idx="54">
                    <c:v>Doctor</c:v>
                  </c:pt>
                  <c:pt idx="55">
                    <c:v>Doctor</c:v>
                  </c:pt>
                  <c:pt idx="56">
                    <c:v>Doctor</c:v>
                  </c:pt>
                  <c:pt idx="57">
                    <c:v>Doctor</c:v>
                  </c:pt>
                  <c:pt idx="58">
                    <c:v>Doctor</c:v>
                  </c:pt>
                  <c:pt idx="59">
                    <c:v>Doctor</c:v>
                  </c:pt>
                  <c:pt idx="60">
                    <c:v>Doctor</c:v>
                  </c:pt>
                  <c:pt idx="61">
                    <c:v>Doctor</c:v>
                  </c:pt>
                  <c:pt idx="62">
                    <c:v>Doctor</c:v>
                  </c:pt>
                  <c:pt idx="63">
                    <c:v>Doctor</c:v>
                  </c:pt>
                  <c:pt idx="64">
                    <c:v>Doctor</c:v>
                  </c:pt>
                  <c:pt idx="65">
                    <c:v>Doctor</c:v>
                  </c:pt>
                  <c:pt idx="66">
                    <c:v>Accountant</c:v>
                  </c:pt>
                  <c:pt idx="67">
                    <c:v>Doctor</c:v>
                  </c:pt>
                  <c:pt idx="68">
                    <c:v>Scientist</c:v>
                  </c:pt>
                  <c:pt idx="69">
                    <c:v>Scientist</c:v>
                  </c:pt>
                  <c:pt idx="70">
                    <c:v>Doctor</c:v>
                  </c:pt>
                  <c:pt idx="71">
                    <c:v>Doctor</c:v>
                  </c:pt>
                  <c:pt idx="72">
                    <c:v>Doctor</c:v>
                  </c:pt>
                  <c:pt idx="73">
                    <c:v>Doctor</c:v>
                  </c:pt>
                  <c:pt idx="74">
                    <c:v>Doctor</c:v>
                  </c:pt>
                  <c:pt idx="75">
                    <c:v>Doctor</c:v>
                  </c:pt>
                  <c:pt idx="76">
                    <c:v>Doctor</c:v>
                  </c:pt>
                  <c:pt idx="77">
                    <c:v>Doctor</c:v>
                  </c:pt>
                  <c:pt idx="78">
                    <c:v>Doctor</c:v>
                  </c:pt>
                  <c:pt idx="79">
                    <c:v>Doctor</c:v>
                  </c:pt>
                  <c:pt idx="80">
                    <c:v>Scientist</c:v>
                  </c:pt>
                  <c:pt idx="81">
                    <c:v>Scientist</c:v>
                  </c:pt>
                  <c:pt idx="82">
                    <c:v>Teacher</c:v>
                  </c:pt>
                  <c:pt idx="83">
                    <c:v>Teacher</c:v>
                  </c:pt>
                  <c:pt idx="84">
                    <c:v>Software Engineer</c:v>
                  </c:pt>
                  <c:pt idx="85">
                    <c:v>Accountant</c:v>
                  </c:pt>
                  <c:pt idx="86">
                    <c:v>Engineer</c:v>
                  </c:pt>
                  <c:pt idx="87">
                    <c:v>Engineer</c:v>
                  </c:pt>
                  <c:pt idx="88">
                    <c:v>Engineer</c:v>
                  </c:pt>
                  <c:pt idx="89">
                    <c:v>Engineer</c:v>
                  </c:pt>
                  <c:pt idx="90">
                    <c:v>Engineer</c:v>
                  </c:pt>
                  <c:pt idx="91">
                    <c:v>Engineer</c:v>
                  </c:pt>
                  <c:pt idx="92">
                    <c:v>Software Engineer</c:v>
                  </c:pt>
                  <c:pt idx="93">
                    <c:v>Lawyer</c:v>
                  </c:pt>
                  <c:pt idx="94">
                    <c:v>Accountant</c:v>
                  </c:pt>
                  <c:pt idx="95">
                    <c:v>Accountant</c:v>
                  </c:pt>
                  <c:pt idx="96">
                    <c:v>Accountant</c:v>
                  </c:pt>
                  <c:pt idx="97">
                    <c:v>Accountant</c:v>
                  </c:pt>
                  <c:pt idx="98">
                    <c:v>Teacher</c:v>
                  </c:pt>
                  <c:pt idx="99">
                    <c:v>Teacher</c:v>
                  </c:pt>
                  <c:pt idx="100">
                    <c:v>Teacher</c:v>
                  </c:pt>
                  <c:pt idx="101">
                    <c:v>Teacher</c:v>
                  </c:pt>
                  <c:pt idx="102">
                    <c:v>Teacher</c:v>
                  </c:pt>
                  <c:pt idx="103">
                    <c:v>Teacher</c:v>
                  </c:pt>
                  <c:pt idx="104">
                    <c:v>Teacher</c:v>
                  </c:pt>
                  <c:pt idx="105">
                    <c:v>Teacher</c:v>
                  </c:pt>
                  <c:pt idx="106">
                    <c:v>Nurse</c:v>
                  </c:pt>
                  <c:pt idx="107">
                    <c:v>Engineer</c:v>
                  </c:pt>
                  <c:pt idx="108">
                    <c:v>Engineer</c:v>
                  </c:pt>
                  <c:pt idx="109">
                    <c:v>Lawyer</c:v>
                  </c:pt>
                  <c:pt idx="110">
                    <c:v>Accountant</c:v>
                  </c:pt>
                  <c:pt idx="111">
                    <c:v>Lawyer</c:v>
                  </c:pt>
                  <c:pt idx="112">
                    <c:v>Accountant</c:v>
                  </c:pt>
                  <c:pt idx="113">
                    <c:v>Lawyer</c:v>
                  </c:pt>
                  <c:pt idx="114">
                    <c:v>Accountant</c:v>
                  </c:pt>
                  <c:pt idx="115">
                    <c:v>Accountant</c:v>
                  </c:pt>
                  <c:pt idx="116">
                    <c:v>Accountant</c:v>
                  </c:pt>
                  <c:pt idx="117">
                    <c:v>Accountant</c:v>
                  </c:pt>
                  <c:pt idx="118">
                    <c:v>Accountant</c:v>
                  </c:pt>
                  <c:pt idx="119">
                    <c:v>Accountant</c:v>
                  </c:pt>
                  <c:pt idx="120">
                    <c:v>Accountant</c:v>
                  </c:pt>
                  <c:pt idx="121">
                    <c:v>Accountant</c:v>
                  </c:pt>
                  <c:pt idx="122">
                    <c:v>Accountant</c:v>
                  </c:pt>
                  <c:pt idx="123">
                    <c:v>Accountant</c:v>
                  </c:pt>
                  <c:pt idx="124">
                    <c:v>Accountant</c:v>
                  </c:pt>
                  <c:pt idx="125">
                    <c:v>Nurse</c:v>
                  </c:pt>
                  <c:pt idx="126">
                    <c:v>Lawyer</c:v>
                  </c:pt>
                  <c:pt idx="127">
                    <c:v>Accountant</c:v>
                  </c:pt>
                  <c:pt idx="128">
                    <c:v>Lawyer</c:v>
                  </c:pt>
                  <c:pt idx="129">
                    <c:v>Lawyer</c:v>
                  </c:pt>
                  <c:pt idx="130">
                    <c:v>Accountant</c:v>
                  </c:pt>
                  <c:pt idx="131">
                    <c:v>Lawyer</c:v>
                  </c:pt>
                  <c:pt idx="132">
                    <c:v>Lawyer</c:v>
                  </c:pt>
                  <c:pt idx="133">
                    <c:v>Accountant</c:v>
                  </c:pt>
                  <c:pt idx="134">
                    <c:v>Lawyer</c:v>
                  </c:pt>
                  <c:pt idx="135">
                    <c:v>Lawyer</c:v>
                  </c:pt>
                  <c:pt idx="136">
                    <c:v>Accountant</c:v>
                  </c:pt>
                  <c:pt idx="137">
                    <c:v>Lawyer</c:v>
                  </c:pt>
                  <c:pt idx="138">
                    <c:v>Accountant</c:v>
                  </c:pt>
                  <c:pt idx="139">
                    <c:v>Lawyer</c:v>
                  </c:pt>
                  <c:pt idx="140">
                    <c:v>Accountant</c:v>
                  </c:pt>
                  <c:pt idx="141">
                    <c:v>Lawyer</c:v>
                  </c:pt>
                  <c:pt idx="142">
                    <c:v>Accountant</c:v>
                  </c:pt>
                  <c:pt idx="143">
                    <c:v>Accountant</c:v>
                  </c:pt>
                  <c:pt idx="144">
                    <c:v>Lawyer</c:v>
                  </c:pt>
                  <c:pt idx="145">
                    <c:v>Lawyer</c:v>
                  </c:pt>
                  <c:pt idx="146">
                    <c:v>Lawyer</c:v>
                  </c:pt>
                  <c:pt idx="147">
                    <c:v>Engineer</c:v>
                  </c:pt>
                  <c:pt idx="148">
                    <c:v>Lawyer</c:v>
                  </c:pt>
                  <c:pt idx="149">
                    <c:v>Accountant</c:v>
                  </c:pt>
                  <c:pt idx="150">
                    <c:v>Accountant</c:v>
                  </c:pt>
                  <c:pt idx="151">
                    <c:v>Lawyer</c:v>
                  </c:pt>
                  <c:pt idx="152">
                    <c:v>Lawyer</c:v>
                  </c:pt>
                  <c:pt idx="153">
                    <c:v>Lawyer</c:v>
                  </c:pt>
                  <c:pt idx="154">
                    <c:v>Lawyer</c:v>
                  </c:pt>
                  <c:pt idx="155">
                    <c:v>Lawyer</c:v>
                  </c:pt>
                  <c:pt idx="156">
                    <c:v>Lawyer</c:v>
                  </c:pt>
                  <c:pt idx="157">
                    <c:v>Lawyer</c:v>
                  </c:pt>
                  <c:pt idx="158">
                    <c:v>Lawyer</c:v>
                  </c:pt>
                  <c:pt idx="159">
                    <c:v>Lawyer</c:v>
                  </c:pt>
                  <c:pt idx="160">
                    <c:v>Lawyer</c:v>
                  </c:pt>
                  <c:pt idx="161">
                    <c:v>Accountant</c:v>
                  </c:pt>
                  <c:pt idx="162">
                    <c:v>Accountant</c:v>
                  </c:pt>
                  <c:pt idx="163">
                    <c:v>Lawyer</c:v>
                  </c:pt>
                  <c:pt idx="164">
                    <c:v>Lawyer</c:v>
                  </c:pt>
                  <c:pt idx="165">
                    <c:v>Lawyer</c:v>
                  </c:pt>
                  <c:pt idx="166">
                    <c:v>Engineer</c:v>
                  </c:pt>
                  <c:pt idx="167">
                    <c:v>Lawyer</c:v>
                  </c:pt>
                  <c:pt idx="168">
                    <c:v>Lawyer</c:v>
                  </c:pt>
                  <c:pt idx="169">
                    <c:v>Lawyer</c:v>
                  </c:pt>
                  <c:pt idx="170">
                    <c:v>Lawyer</c:v>
                  </c:pt>
                  <c:pt idx="171">
                    <c:v>Lawyer</c:v>
                  </c:pt>
                  <c:pt idx="172">
                    <c:v>Lawyer</c:v>
                  </c:pt>
                  <c:pt idx="173">
                    <c:v>Lawyer</c:v>
                  </c:pt>
                  <c:pt idx="174">
                    <c:v>Lawyer</c:v>
                  </c:pt>
                  <c:pt idx="175">
                    <c:v>Lawyer</c:v>
                  </c:pt>
                  <c:pt idx="176">
                    <c:v>Lawyer</c:v>
                  </c:pt>
                  <c:pt idx="177">
                    <c:v>Salesperson</c:v>
                  </c:pt>
                  <c:pt idx="178">
                    <c:v>Lawyer</c:v>
                  </c:pt>
                  <c:pt idx="179">
                    <c:v>Lawyer</c:v>
                  </c:pt>
                  <c:pt idx="180">
                    <c:v>Lawyer</c:v>
                  </c:pt>
                  <c:pt idx="181">
                    <c:v>Lawyer</c:v>
                  </c:pt>
                  <c:pt idx="182">
                    <c:v>Lawyer</c:v>
                  </c:pt>
                  <c:pt idx="183">
                    <c:v>Lawyer</c:v>
                  </c:pt>
                  <c:pt idx="184">
                    <c:v>Teacher</c:v>
                  </c:pt>
                  <c:pt idx="185">
                    <c:v>Teacher</c:v>
                  </c:pt>
                  <c:pt idx="186">
                    <c:v>Teacher</c:v>
                  </c:pt>
                  <c:pt idx="187">
                    <c:v>Salesperson</c:v>
                  </c:pt>
                  <c:pt idx="188">
                    <c:v>Teacher</c:v>
                  </c:pt>
                  <c:pt idx="189">
                    <c:v>Salesperson</c:v>
                  </c:pt>
                  <c:pt idx="190">
                    <c:v>Teacher</c:v>
                  </c:pt>
                  <c:pt idx="191">
                    <c:v>Salesperson</c:v>
                  </c:pt>
                  <c:pt idx="192">
                    <c:v>Salesperson</c:v>
                  </c:pt>
                  <c:pt idx="193">
                    <c:v>Salesperson</c:v>
                  </c:pt>
                  <c:pt idx="194">
                    <c:v>Salesperson</c:v>
                  </c:pt>
                  <c:pt idx="195">
                    <c:v>Salesperson</c:v>
                  </c:pt>
                  <c:pt idx="196">
                    <c:v>Salesperson</c:v>
                  </c:pt>
                  <c:pt idx="197">
                    <c:v>Salesperson</c:v>
                  </c:pt>
                  <c:pt idx="198">
                    <c:v>Salesperson</c:v>
                  </c:pt>
                  <c:pt idx="199">
                    <c:v>Salesperson</c:v>
                  </c:pt>
                  <c:pt idx="200">
                    <c:v>Salesperson</c:v>
                  </c:pt>
                  <c:pt idx="201">
                    <c:v>Engineer</c:v>
                  </c:pt>
                  <c:pt idx="202">
                    <c:v>Engineer</c:v>
                  </c:pt>
                  <c:pt idx="203">
                    <c:v>Engineer</c:v>
                  </c:pt>
                  <c:pt idx="204">
                    <c:v>Engineer</c:v>
                  </c:pt>
                  <c:pt idx="205">
                    <c:v>Engineer</c:v>
                  </c:pt>
                  <c:pt idx="206">
                    <c:v>Engineer</c:v>
                  </c:pt>
                  <c:pt idx="207">
                    <c:v>Engineer</c:v>
                  </c:pt>
                  <c:pt idx="208">
                    <c:v>Engineer</c:v>
                  </c:pt>
                  <c:pt idx="209">
                    <c:v>Engineer</c:v>
                  </c:pt>
                  <c:pt idx="210">
                    <c:v>Engineer</c:v>
                  </c:pt>
                  <c:pt idx="211">
                    <c:v>Engineer</c:v>
                  </c:pt>
                  <c:pt idx="212">
                    <c:v>Engineer</c:v>
                  </c:pt>
                  <c:pt idx="213">
                    <c:v>Engineer</c:v>
                  </c:pt>
                  <c:pt idx="214">
                    <c:v>Engineer</c:v>
                  </c:pt>
                  <c:pt idx="215">
                    <c:v>Engineer</c:v>
                  </c:pt>
                  <c:pt idx="216">
                    <c:v>Engineer</c:v>
                  </c:pt>
                  <c:pt idx="217">
                    <c:v>Engineer</c:v>
                  </c:pt>
                  <c:pt idx="218">
                    <c:v>Engineer</c:v>
                  </c:pt>
                  <c:pt idx="219">
                    <c:v>Salesperson</c:v>
                  </c:pt>
                  <c:pt idx="220">
                    <c:v>Teacher</c:v>
                  </c:pt>
                  <c:pt idx="221">
                    <c:v>Salesperson</c:v>
                  </c:pt>
                  <c:pt idx="222">
                    <c:v>Salesperson</c:v>
                  </c:pt>
                  <c:pt idx="223">
                    <c:v>Salesperson</c:v>
                  </c:pt>
                  <c:pt idx="224">
                    <c:v>Teacher</c:v>
                  </c:pt>
                  <c:pt idx="225">
                    <c:v>Salesperson</c:v>
                  </c:pt>
                  <c:pt idx="226">
                    <c:v>Teacher</c:v>
                  </c:pt>
                  <c:pt idx="227">
                    <c:v>Salesperson</c:v>
                  </c:pt>
                  <c:pt idx="228">
                    <c:v>Teacher</c:v>
                  </c:pt>
                  <c:pt idx="229">
                    <c:v>Salesperson</c:v>
                  </c:pt>
                  <c:pt idx="230">
                    <c:v>Teacher</c:v>
                  </c:pt>
                  <c:pt idx="231">
                    <c:v>Salesperson</c:v>
                  </c:pt>
                  <c:pt idx="232">
                    <c:v>Teacher</c:v>
                  </c:pt>
                  <c:pt idx="233">
                    <c:v>Salesperson</c:v>
                  </c:pt>
                  <c:pt idx="234">
                    <c:v>Teacher</c:v>
                  </c:pt>
                  <c:pt idx="235">
                    <c:v>Salesperson</c:v>
                  </c:pt>
                  <c:pt idx="236">
                    <c:v>Salesperson</c:v>
                  </c:pt>
                  <c:pt idx="237">
                    <c:v>Teacher</c:v>
                  </c:pt>
                  <c:pt idx="238">
                    <c:v>Salesperson</c:v>
                  </c:pt>
                  <c:pt idx="239">
                    <c:v>Salesperson</c:v>
                  </c:pt>
                  <c:pt idx="240">
                    <c:v>Teacher</c:v>
                  </c:pt>
                  <c:pt idx="241">
                    <c:v>Salesperson</c:v>
                  </c:pt>
                  <c:pt idx="242">
                    <c:v>Salesperson</c:v>
                  </c:pt>
                  <c:pt idx="243">
                    <c:v>Teacher</c:v>
                  </c:pt>
                  <c:pt idx="244">
                    <c:v>Salesperson</c:v>
                  </c:pt>
                  <c:pt idx="245">
                    <c:v>Teacher</c:v>
                  </c:pt>
                  <c:pt idx="246">
                    <c:v>Salesperson</c:v>
                  </c:pt>
                  <c:pt idx="247">
                    <c:v>Engineer</c:v>
                  </c:pt>
                  <c:pt idx="248">
                    <c:v>Salesperson</c:v>
                  </c:pt>
                  <c:pt idx="249">
                    <c:v>Salesperson</c:v>
                  </c:pt>
                  <c:pt idx="250">
                    <c:v>Teacher</c:v>
                  </c:pt>
                  <c:pt idx="251">
                    <c:v>Teacher</c:v>
                  </c:pt>
                  <c:pt idx="252">
                    <c:v>Teacher</c:v>
                  </c:pt>
                  <c:pt idx="253">
                    <c:v>Teacher</c:v>
                  </c:pt>
                  <c:pt idx="254">
                    <c:v>Teacher</c:v>
                  </c:pt>
                  <c:pt idx="255">
                    <c:v>Teacher</c:v>
                  </c:pt>
                  <c:pt idx="256">
                    <c:v>Teacher</c:v>
                  </c:pt>
                  <c:pt idx="257">
                    <c:v>Teacher</c:v>
                  </c:pt>
                  <c:pt idx="258">
                    <c:v>Teacher</c:v>
                  </c:pt>
                  <c:pt idx="259">
                    <c:v>Teacher</c:v>
                  </c:pt>
                  <c:pt idx="260">
                    <c:v>Teacher</c:v>
                  </c:pt>
                  <c:pt idx="261">
                    <c:v>Teacher</c:v>
                  </c:pt>
                  <c:pt idx="262">
                    <c:v>Teacher</c:v>
                  </c:pt>
                  <c:pt idx="263">
                    <c:v>Manager</c:v>
                  </c:pt>
                  <c:pt idx="264">
                    <c:v>Doctor</c:v>
                  </c:pt>
                  <c:pt idx="265">
                    <c:v>Nurse</c:v>
                  </c:pt>
                  <c:pt idx="266">
                    <c:v>Doctor</c:v>
                  </c:pt>
                  <c:pt idx="267">
                    <c:v>Nurse</c:v>
                  </c:pt>
                  <c:pt idx="268">
                    <c:v>Nurse</c:v>
                  </c:pt>
                  <c:pt idx="269">
                    <c:v>Nurse</c:v>
                  </c:pt>
                  <c:pt idx="270">
                    <c:v>Nurse</c:v>
                  </c:pt>
                  <c:pt idx="271">
                    <c:v>Nurse</c:v>
                  </c:pt>
                  <c:pt idx="272">
                    <c:v>Nurse</c:v>
                  </c:pt>
                  <c:pt idx="273">
                    <c:v>Nurse</c:v>
                  </c:pt>
                  <c:pt idx="274">
                    <c:v>Nurse</c:v>
                  </c:pt>
                  <c:pt idx="275">
                    <c:v>Nurse</c:v>
                  </c:pt>
                  <c:pt idx="276">
                    <c:v>Doctor</c:v>
                  </c:pt>
                  <c:pt idx="277">
                    <c:v>Doctor</c:v>
                  </c:pt>
                  <c:pt idx="278">
                    <c:v>Nurse</c:v>
                  </c:pt>
                  <c:pt idx="279">
                    <c:v>Engineer</c:v>
                  </c:pt>
                  <c:pt idx="280">
                    <c:v>Nurse</c:v>
                  </c:pt>
                  <c:pt idx="281">
                    <c:v>Nurse</c:v>
                  </c:pt>
                  <c:pt idx="282">
                    <c:v>Nurse</c:v>
                  </c:pt>
                  <c:pt idx="283">
                    <c:v>Nurse</c:v>
                  </c:pt>
                  <c:pt idx="284">
                    <c:v>Nurse</c:v>
                  </c:pt>
                  <c:pt idx="285">
                    <c:v>Nurse</c:v>
                  </c:pt>
                  <c:pt idx="286">
                    <c:v>Nurse</c:v>
                  </c:pt>
                  <c:pt idx="287">
                    <c:v>Nurse</c:v>
                  </c:pt>
                  <c:pt idx="288">
                    <c:v>Nurse</c:v>
                  </c:pt>
                  <c:pt idx="289">
                    <c:v>Nurse</c:v>
                  </c:pt>
                  <c:pt idx="290">
                    <c:v>Nurse</c:v>
                  </c:pt>
                  <c:pt idx="291">
                    <c:v>Nurse</c:v>
                  </c:pt>
                  <c:pt idx="292">
                    <c:v>Nurse</c:v>
                  </c:pt>
                  <c:pt idx="293">
                    <c:v>Nurse</c:v>
                  </c:pt>
                  <c:pt idx="294">
                    <c:v>Nurse</c:v>
                  </c:pt>
                  <c:pt idx="295">
                    <c:v>Nurse</c:v>
                  </c:pt>
                  <c:pt idx="296">
                    <c:v>Nurse</c:v>
                  </c:pt>
                  <c:pt idx="297">
                    <c:v>Nurse</c:v>
                  </c:pt>
                  <c:pt idx="298">
                    <c:v>Engineer</c:v>
                  </c:pt>
                  <c:pt idx="299">
                    <c:v>Engineer</c:v>
                  </c:pt>
                  <c:pt idx="300">
                    <c:v>Engineer</c:v>
                  </c:pt>
                  <c:pt idx="301">
                    <c:v>Engineer</c:v>
                  </c:pt>
                  <c:pt idx="302">
                    <c:v>Nurse</c:v>
                  </c:pt>
                  <c:pt idx="303">
                    <c:v>Nurse</c:v>
                  </c:pt>
                  <c:pt idx="304">
                    <c:v>Nurse</c:v>
                  </c:pt>
                  <c:pt idx="305">
                    <c:v>Nurse</c:v>
                  </c:pt>
                  <c:pt idx="306">
                    <c:v>Accountant</c:v>
                  </c:pt>
                  <c:pt idx="307">
                    <c:v>Accountant</c:v>
                  </c:pt>
                  <c:pt idx="308">
                    <c:v>Accountant</c:v>
                  </c:pt>
                  <c:pt idx="309">
                    <c:v>Accountant</c:v>
                  </c:pt>
                  <c:pt idx="310">
                    <c:v>Accountant</c:v>
                  </c:pt>
                  <c:pt idx="311">
                    <c:v>Accountant</c:v>
                  </c:pt>
                  <c:pt idx="312">
                    <c:v>Engineer</c:v>
                  </c:pt>
                  <c:pt idx="313">
                    <c:v>Engineer</c:v>
                  </c:pt>
                  <c:pt idx="314">
                    <c:v>Engineer</c:v>
                  </c:pt>
                  <c:pt idx="315">
                    <c:v>Engineer</c:v>
                  </c:pt>
                  <c:pt idx="316">
                    <c:v>Engineer</c:v>
                  </c:pt>
                  <c:pt idx="317">
                    <c:v>Engineer</c:v>
                  </c:pt>
                  <c:pt idx="318">
                    <c:v>Engineer</c:v>
                  </c:pt>
                  <c:pt idx="319">
                    <c:v>Engineer</c:v>
                  </c:pt>
                  <c:pt idx="320">
                    <c:v>Engineer</c:v>
                  </c:pt>
                  <c:pt idx="321">
                    <c:v>Engineer</c:v>
                  </c:pt>
                  <c:pt idx="322">
                    <c:v>Engineer</c:v>
                  </c:pt>
                  <c:pt idx="323">
                    <c:v>Engineer</c:v>
                  </c:pt>
                  <c:pt idx="324">
                    <c:v>Engineer</c:v>
                  </c:pt>
                  <c:pt idx="325">
                    <c:v>Engineer</c:v>
                  </c:pt>
                  <c:pt idx="326">
                    <c:v>Engineer</c:v>
                  </c:pt>
                  <c:pt idx="327">
                    <c:v>Engineer</c:v>
                  </c:pt>
                  <c:pt idx="328">
                    <c:v>Engineer</c:v>
                  </c:pt>
                  <c:pt idx="329">
                    <c:v>Engineer</c:v>
                  </c:pt>
                  <c:pt idx="330">
                    <c:v>Engineer</c:v>
                  </c:pt>
                  <c:pt idx="331">
                    <c:v>Engineer</c:v>
                  </c:pt>
                  <c:pt idx="332">
                    <c:v>Engineer</c:v>
                  </c:pt>
                  <c:pt idx="333">
                    <c:v>Engineer</c:v>
                  </c:pt>
                  <c:pt idx="334">
                    <c:v>Engineer</c:v>
                  </c:pt>
                  <c:pt idx="335">
                    <c:v>Engineer</c:v>
                  </c:pt>
                  <c:pt idx="336">
                    <c:v>Engineer</c:v>
                  </c:pt>
                  <c:pt idx="337">
                    <c:v>Engineer</c:v>
                  </c:pt>
                  <c:pt idx="338">
                    <c:v>Engineer</c:v>
                  </c:pt>
                  <c:pt idx="339">
                    <c:v>Nurse</c:v>
                  </c:pt>
                  <c:pt idx="340">
                    <c:v>Nurse</c:v>
                  </c:pt>
                  <c:pt idx="341">
                    <c:v>Doctor</c:v>
                  </c:pt>
                  <c:pt idx="342">
                    <c:v>Doctor</c:v>
                  </c:pt>
                  <c:pt idx="343">
                    <c:v>Nurse</c:v>
                  </c:pt>
                  <c:pt idx="344">
                    <c:v>Nurse</c:v>
                  </c:pt>
                  <c:pt idx="345">
                    <c:v>Nurse</c:v>
                  </c:pt>
                  <c:pt idx="346">
                    <c:v>Nurse</c:v>
                  </c:pt>
                  <c:pt idx="347">
                    <c:v>Nurse</c:v>
                  </c:pt>
                  <c:pt idx="348">
                    <c:v>Nurse</c:v>
                  </c:pt>
                  <c:pt idx="349">
                    <c:v>Nurse</c:v>
                  </c:pt>
                  <c:pt idx="350">
                    <c:v>Nurse</c:v>
                  </c:pt>
                  <c:pt idx="351">
                    <c:v>Nurse</c:v>
                  </c:pt>
                  <c:pt idx="352">
                    <c:v>Nurse</c:v>
                  </c:pt>
                  <c:pt idx="353">
                    <c:v>Nurse</c:v>
                  </c:pt>
                  <c:pt idx="354">
                    <c:v>Nurse</c:v>
                  </c:pt>
                  <c:pt idx="355">
                    <c:v>Nurse</c:v>
                  </c:pt>
                  <c:pt idx="356">
                    <c:v>Nurse</c:v>
                  </c:pt>
                  <c:pt idx="357">
                    <c:v>Nurse</c:v>
                  </c:pt>
                  <c:pt idx="358">
                    <c:v>Nurse</c:v>
                  </c:pt>
                  <c:pt idx="359">
                    <c:v>Nurse</c:v>
                  </c:pt>
                  <c:pt idx="360">
                    <c:v>Nurse</c:v>
                  </c:pt>
                  <c:pt idx="361">
                    <c:v>Nurse</c:v>
                  </c:pt>
                  <c:pt idx="362">
                    <c:v>Nurse</c:v>
                  </c:pt>
                  <c:pt idx="363">
                    <c:v>Nurse</c:v>
                  </c:pt>
                  <c:pt idx="364">
                    <c:v>Nurse</c:v>
                  </c:pt>
                  <c:pt idx="365">
                    <c:v>Nurse</c:v>
                  </c:pt>
                  <c:pt idx="366">
                    <c:v>Nurse</c:v>
                  </c:pt>
                  <c:pt idx="367">
                    <c:v>Nurse</c:v>
                  </c:pt>
                  <c:pt idx="368">
                    <c:v>Nurse</c:v>
                  </c:pt>
                  <c:pt idx="369">
                    <c:v>Nurse</c:v>
                  </c:pt>
                  <c:pt idx="370">
                    <c:v>Nurse</c:v>
                  </c:pt>
                  <c:pt idx="371">
                    <c:v>Nurse</c:v>
                  </c:pt>
                  <c:pt idx="372">
                    <c:v>Nurse</c:v>
                  </c:pt>
                  <c:pt idx="373">
                    <c:v>Nurse</c:v>
                  </c:pt>
                </c:lvl>
                <c:lvl>
                  <c:pt idx="0">
                    <c:v>young</c:v>
                  </c:pt>
                  <c:pt idx="1">
                    <c:v>young</c:v>
                  </c:pt>
                  <c:pt idx="2">
                    <c:v>young</c:v>
                  </c:pt>
                  <c:pt idx="3">
                    <c:v>young</c:v>
                  </c:pt>
                  <c:pt idx="4">
                    <c:v>young</c:v>
                  </c:pt>
                  <c:pt idx="5">
                    <c:v>young</c:v>
                  </c:pt>
                  <c:pt idx="6">
                    <c:v>young</c:v>
                  </c:pt>
                  <c:pt idx="7">
                    <c:v>young</c:v>
                  </c:pt>
                  <c:pt idx="8">
                    <c:v>young</c:v>
                  </c:pt>
                  <c:pt idx="9">
                    <c:v>young</c:v>
                  </c:pt>
                  <c:pt idx="10">
                    <c:v>young</c:v>
                  </c:pt>
                  <c:pt idx="11">
                    <c:v>young</c:v>
                  </c:pt>
                  <c:pt idx="12">
                    <c:v>young</c:v>
                  </c:pt>
                  <c:pt idx="13">
                    <c:v>young</c:v>
                  </c:pt>
                  <c:pt idx="14">
                    <c:v>young</c:v>
                  </c:pt>
                  <c:pt idx="15">
                    <c:v>young</c:v>
                  </c:pt>
                  <c:pt idx="16">
                    <c:v>young</c:v>
                  </c:pt>
                  <c:pt idx="17">
                    <c:v>young</c:v>
                  </c:pt>
                  <c:pt idx="18">
                    <c:v>young</c:v>
                  </c:pt>
                  <c:pt idx="19">
                    <c:v>young</c:v>
                  </c:pt>
                  <c:pt idx="20">
                    <c:v>young</c:v>
                  </c:pt>
                  <c:pt idx="21">
                    <c:v>young</c:v>
                  </c:pt>
                  <c:pt idx="22">
                    <c:v>young</c:v>
                  </c:pt>
                  <c:pt idx="23">
                    <c:v>young</c:v>
                  </c:pt>
                  <c:pt idx="24">
                    <c:v>young</c:v>
                  </c:pt>
                  <c:pt idx="25">
                    <c:v>young</c:v>
                  </c:pt>
                  <c:pt idx="26">
                    <c:v>young</c:v>
                  </c:pt>
                  <c:pt idx="27">
                    <c:v>young</c:v>
                  </c:pt>
                  <c:pt idx="28">
                    <c:v>young</c:v>
                  </c:pt>
                  <c:pt idx="29">
                    <c:v>young</c:v>
                  </c:pt>
                  <c:pt idx="30">
                    <c:v>young</c:v>
                  </c:pt>
                  <c:pt idx="31">
                    <c:v>young</c:v>
                  </c:pt>
                  <c:pt idx="32">
                    <c:v>young</c:v>
                  </c:pt>
                  <c:pt idx="33">
                    <c:v>young</c:v>
                  </c:pt>
                  <c:pt idx="34">
                    <c:v>young</c:v>
                  </c:pt>
                  <c:pt idx="35">
                    <c:v>young</c:v>
                  </c:pt>
                  <c:pt idx="36">
                    <c:v>young</c:v>
                  </c:pt>
                  <c:pt idx="37">
                    <c:v>young</c:v>
                  </c:pt>
                  <c:pt idx="38">
                    <c:v>young</c:v>
                  </c:pt>
                  <c:pt idx="39">
                    <c:v>young</c:v>
                  </c:pt>
                  <c:pt idx="40">
                    <c:v>young</c:v>
                  </c:pt>
                  <c:pt idx="41">
                    <c:v>young</c:v>
                  </c:pt>
                  <c:pt idx="42">
                    <c:v>young</c:v>
                  </c:pt>
                  <c:pt idx="43">
                    <c:v>young</c:v>
                  </c:pt>
                  <c:pt idx="44">
                    <c:v>young</c:v>
                  </c:pt>
                  <c:pt idx="45">
                    <c:v>young</c:v>
                  </c:pt>
                  <c:pt idx="46">
                    <c:v>young</c:v>
                  </c:pt>
                  <c:pt idx="47">
                    <c:v>young</c:v>
                  </c:pt>
                  <c:pt idx="48">
                    <c:v>young</c:v>
                  </c:pt>
                  <c:pt idx="49">
                    <c:v>young</c:v>
                  </c:pt>
                  <c:pt idx="50">
                    <c:v>young</c:v>
                  </c:pt>
                  <c:pt idx="51">
                    <c:v>young</c:v>
                  </c:pt>
                  <c:pt idx="52">
                    <c:v>young</c:v>
                  </c:pt>
                  <c:pt idx="53">
                    <c:v>young</c:v>
                  </c:pt>
                  <c:pt idx="54">
                    <c:v>young</c:v>
                  </c:pt>
                  <c:pt idx="55">
                    <c:v>young</c:v>
                  </c:pt>
                  <c:pt idx="56">
                    <c:v>young</c:v>
                  </c:pt>
                  <c:pt idx="57">
                    <c:v>young</c:v>
                  </c:pt>
                  <c:pt idx="58">
                    <c:v>young</c:v>
                  </c:pt>
                  <c:pt idx="59">
                    <c:v>young</c:v>
                  </c:pt>
                  <c:pt idx="60">
                    <c:v>young</c:v>
                  </c:pt>
                  <c:pt idx="61">
                    <c:v>young</c:v>
                  </c:pt>
                  <c:pt idx="62">
                    <c:v>young</c:v>
                  </c:pt>
                  <c:pt idx="63">
                    <c:v>young</c:v>
                  </c:pt>
                  <c:pt idx="64">
                    <c:v>young</c:v>
                  </c:pt>
                  <c:pt idx="65">
                    <c:v>young</c:v>
                  </c:pt>
                  <c:pt idx="66">
                    <c:v>young</c:v>
                  </c:pt>
                  <c:pt idx="67">
                    <c:v>young</c:v>
                  </c:pt>
                  <c:pt idx="68">
                    <c:v>young</c:v>
                  </c:pt>
                  <c:pt idx="69">
                    <c:v>young</c:v>
                  </c:pt>
                  <c:pt idx="70">
                    <c:v>young</c:v>
                  </c:pt>
                  <c:pt idx="71">
                    <c:v>young</c:v>
                  </c:pt>
                  <c:pt idx="72">
                    <c:v>young</c:v>
                  </c:pt>
                  <c:pt idx="73">
                    <c:v>young</c:v>
                  </c:pt>
                  <c:pt idx="74">
                    <c:v>young</c:v>
                  </c:pt>
                  <c:pt idx="75">
                    <c:v>young</c:v>
                  </c:pt>
                  <c:pt idx="76">
                    <c:v>young</c:v>
                  </c:pt>
                  <c:pt idx="77">
                    <c:v>young</c:v>
                  </c:pt>
                  <c:pt idx="78">
                    <c:v>young</c:v>
                  </c:pt>
                  <c:pt idx="79">
                    <c:v>young</c:v>
                  </c:pt>
                  <c:pt idx="80">
                    <c:v>young</c:v>
                  </c:pt>
                  <c:pt idx="81">
                    <c:v>young</c:v>
                  </c:pt>
                  <c:pt idx="82">
                    <c:v>middle age</c:v>
                  </c:pt>
                  <c:pt idx="83">
                    <c:v>middle age</c:v>
                  </c:pt>
                  <c:pt idx="84">
                    <c:v>middle age</c:v>
                  </c:pt>
                  <c:pt idx="85">
                    <c:v>middle age</c:v>
                  </c:pt>
                  <c:pt idx="86">
                    <c:v>middle age</c:v>
                  </c:pt>
                  <c:pt idx="87">
                    <c:v>middle age</c:v>
                  </c:pt>
                  <c:pt idx="88">
                    <c:v>middle age</c:v>
                  </c:pt>
                  <c:pt idx="89">
                    <c:v>middle age</c:v>
                  </c:pt>
                  <c:pt idx="90">
                    <c:v>middle age</c:v>
                  </c:pt>
                  <c:pt idx="91">
                    <c:v>middle age</c:v>
                  </c:pt>
                  <c:pt idx="92">
                    <c:v>middle age</c:v>
                  </c:pt>
                  <c:pt idx="93">
                    <c:v>middle age</c:v>
                  </c:pt>
                  <c:pt idx="94">
                    <c:v>middle age</c:v>
                  </c:pt>
                  <c:pt idx="95">
                    <c:v>middle age</c:v>
                  </c:pt>
                  <c:pt idx="96">
                    <c:v>middle age</c:v>
                  </c:pt>
                  <c:pt idx="97">
                    <c:v>middle age</c:v>
                  </c:pt>
                  <c:pt idx="98">
                    <c:v>middle age</c:v>
                  </c:pt>
                  <c:pt idx="99">
                    <c:v>middle age</c:v>
                  </c:pt>
                  <c:pt idx="100">
                    <c:v>middle age</c:v>
                  </c:pt>
                  <c:pt idx="101">
                    <c:v>middle age</c:v>
                  </c:pt>
                  <c:pt idx="102">
                    <c:v>middle age</c:v>
                  </c:pt>
                  <c:pt idx="103">
                    <c:v>middle age</c:v>
                  </c:pt>
                  <c:pt idx="104">
                    <c:v>middle age</c:v>
                  </c:pt>
                  <c:pt idx="105">
                    <c:v>middle age</c:v>
                  </c:pt>
                  <c:pt idx="106">
                    <c:v>middle age</c:v>
                  </c:pt>
                  <c:pt idx="107">
                    <c:v>middle age</c:v>
                  </c:pt>
                  <c:pt idx="108">
                    <c:v>middle age</c:v>
                  </c:pt>
                  <c:pt idx="109">
                    <c:v>middle age</c:v>
                  </c:pt>
                  <c:pt idx="110">
                    <c:v>middle age</c:v>
                  </c:pt>
                  <c:pt idx="111">
                    <c:v>middle age</c:v>
                  </c:pt>
                  <c:pt idx="112">
                    <c:v>middle age</c:v>
                  </c:pt>
                  <c:pt idx="113">
                    <c:v>middle age</c:v>
                  </c:pt>
                  <c:pt idx="114">
                    <c:v>middle age</c:v>
                  </c:pt>
                  <c:pt idx="115">
                    <c:v>middle age</c:v>
                  </c:pt>
                  <c:pt idx="116">
                    <c:v>middle age</c:v>
                  </c:pt>
                  <c:pt idx="117">
                    <c:v>middle age</c:v>
                  </c:pt>
                  <c:pt idx="118">
                    <c:v>middle age</c:v>
                  </c:pt>
                  <c:pt idx="119">
                    <c:v>middle age</c:v>
                  </c:pt>
                  <c:pt idx="120">
                    <c:v>middle age</c:v>
                  </c:pt>
                  <c:pt idx="121">
                    <c:v>middle age</c:v>
                  </c:pt>
                  <c:pt idx="122">
                    <c:v>middle age</c:v>
                  </c:pt>
                  <c:pt idx="123">
                    <c:v>middle age</c:v>
                  </c:pt>
                  <c:pt idx="124">
                    <c:v>middle age</c:v>
                  </c:pt>
                  <c:pt idx="125">
                    <c:v>middle age</c:v>
                  </c:pt>
                  <c:pt idx="126">
                    <c:v>middle age</c:v>
                  </c:pt>
                  <c:pt idx="127">
                    <c:v>middle age</c:v>
                  </c:pt>
                  <c:pt idx="128">
                    <c:v>middle age</c:v>
                  </c:pt>
                  <c:pt idx="129">
                    <c:v>middle age</c:v>
                  </c:pt>
                  <c:pt idx="130">
                    <c:v>middle age</c:v>
                  </c:pt>
                  <c:pt idx="131">
                    <c:v>middle age</c:v>
                  </c:pt>
                  <c:pt idx="132">
                    <c:v>middle age</c:v>
                  </c:pt>
                  <c:pt idx="133">
                    <c:v>middle age</c:v>
                  </c:pt>
                  <c:pt idx="134">
                    <c:v>middle age</c:v>
                  </c:pt>
                  <c:pt idx="135">
                    <c:v>middle age</c:v>
                  </c:pt>
                  <c:pt idx="136">
                    <c:v>middle age</c:v>
                  </c:pt>
                  <c:pt idx="137">
                    <c:v>middle age</c:v>
                  </c:pt>
                  <c:pt idx="138">
                    <c:v>middle age</c:v>
                  </c:pt>
                  <c:pt idx="139">
                    <c:v>middle age</c:v>
                  </c:pt>
                  <c:pt idx="140">
                    <c:v>middle age</c:v>
                  </c:pt>
                  <c:pt idx="141">
                    <c:v>middle age</c:v>
                  </c:pt>
                  <c:pt idx="142">
                    <c:v>middle age</c:v>
                  </c:pt>
                  <c:pt idx="143">
                    <c:v>middle age</c:v>
                  </c:pt>
                  <c:pt idx="144">
                    <c:v>middle age</c:v>
                  </c:pt>
                  <c:pt idx="145">
                    <c:v>middle age</c:v>
                  </c:pt>
                  <c:pt idx="146">
                    <c:v>middle age</c:v>
                  </c:pt>
                  <c:pt idx="147">
                    <c:v>middle age</c:v>
                  </c:pt>
                  <c:pt idx="148">
                    <c:v>middle age</c:v>
                  </c:pt>
                  <c:pt idx="149">
                    <c:v>middle age</c:v>
                  </c:pt>
                  <c:pt idx="150">
                    <c:v>middle age</c:v>
                  </c:pt>
                  <c:pt idx="151">
                    <c:v>middle age</c:v>
                  </c:pt>
                  <c:pt idx="152">
                    <c:v>middle age</c:v>
                  </c:pt>
                  <c:pt idx="153">
                    <c:v>middle age</c:v>
                  </c:pt>
                  <c:pt idx="154">
                    <c:v>middle age</c:v>
                  </c:pt>
                  <c:pt idx="155">
                    <c:v>middle age</c:v>
                  </c:pt>
                  <c:pt idx="156">
                    <c:v>middle age</c:v>
                  </c:pt>
                  <c:pt idx="157">
                    <c:v>middle age</c:v>
                  </c:pt>
                  <c:pt idx="158">
                    <c:v>middle age</c:v>
                  </c:pt>
                  <c:pt idx="159">
                    <c:v>middle age</c:v>
                  </c:pt>
                  <c:pt idx="160">
                    <c:v>middle age</c:v>
                  </c:pt>
                  <c:pt idx="161">
                    <c:v>middle age</c:v>
                  </c:pt>
                  <c:pt idx="162">
                    <c:v>middle age</c:v>
                  </c:pt>
                  <c:pt idx="163">
                    <c:v>middle age</c:v>
                  </c:pt>
                  <c:pt idx="164">
                    <c:v>middle age</c:v>
                  </c:pt>
                  <c:pt idx="165">
                    <c:v>middle age</c:v>
                  </c:pt>
                  <c:pt idx="166">
                    <c:v>middle age</c:v>
                  </c:pt>
                  <c:pt idx="167">
                    <c:v>middle age</c:v>
                  </c:pt>
                  <c:pt idx="168">
                    <c:v>middle age</c:v>
                  </c:pt>
                  <c:pt idx="169">
                    <c:v>middle age</c:v>
                  </c:pt>
                  <c:pt idx="170">
                    <c:v>middle age</c:v>
                  </c:pt>
                  <c:pt idx="171">
                    <c:v>middle age</c:v>
                  </c:pt>
                  <c:pt idx="172">
                    <c:v>middle age</c:v>
                  </c:pt>
                  <c:pt idx="173">
                    <c:v>middle age</c:v>
                  </c:pt>
                  <c:pt idx="174">
                    <c:v>middle age</c:v>
                  </c:pt>
                  <c:pt idx="175">
                    <c:v>middle age</c:v>
                  </c:pt>
                  <c:pt idx="176">
                    <c:v>middle age</c:v>
                  </c:pt>
                  <c:pt idx="177">
                    <c:v>middle age</c:v>
                  </c:pt>
                  <c:pt idx="178">
                    <c:v>middle age</c:v>
                  </c:pt>
                  <c:pt idx="179">
                    <c:v>middle age</c:v>
                  </c:pt>
                  <c:pt idx="180">
                    <c:v>middle age</c:v>
                  </c:pt>
                  <c:pt idx="181">
                    <c:v>middle age</c:v>
                  </c:pt>
                  <c:pt idx="182">
                    <c:v>middle age</c:v>
                  </c:pt>
                  <c:pt idx="183">
                    <c:v>middle age</c:v>
                  </c:pt>
                  <c:pt idx="184">
                    <c:v>middle age</c:v>
                  </c:pt>
                  <c:pt idx="185">
                    <c:v>middle age</c:v>
                  </c:pt>
                  <c:pt idx="186">
                    <c:v>middle age</c:v>
                  </c:pt>
                  <c:pt idx="187">
                    <c:v>middle age</c:v>
                  </c:pt>
                  <c:pt idx="188">
                    <c:v>middle age</c:v>
                  </c:pt>
                  <c:pt idx="189">
                    <c:v>middle age</c:v>
                  </c:pt>
                  <c:pt idx="190">
                    <c:v>middle age</c:v>
                  </c:pt>
                  <c:pt idx="191">
                    <c:v>middle age</c:v>
                  </c:pt>
                  <c:pt idx="192">
                    <c:v>middle age</c:v>
                  </c:pt>
                  <c:pt idx="193">
                    <c:v>middle age</c:v>
                  </c:pt>
                  <c:pt idx="194">
                    <c:v>middle age</c:v>
                  </c:pt>
                  <c:pt idx="195">
                    <c:v>middle age</c:v>
                  </c:pt>
                  <c:pt idx="196">
                    <c:v>middle age</c:v>
                  </c:pt>
                  <c:pt idx="197">
                    <c:v>middle age</c:v>
                  </c:pt>
                  <c:pt idx="198">
                    <c:v>middle age</c:v>
                  </c:pt>
                  <c:pt idx="199">
                    <c:v>middle age</c:v>
                  </c:pt>
                  <c:pt idx="200">
                    <c:v>middle age</c:v>
                  </c:pt>
                  <c:pt idx="201">
                    <c:v>middle age</c:v>
                  </c:pt>
                  <c:pt idx="202">
                    <c:v>middle age</c:v>
                  </c:pt>
                  <c:pt idx="203">
                    <c:v>middle age</c:v>
                  </c:pt>
                  <c:pt idx="204">
                    <c:v>middle age</c:v>
                  </c:pt>
                  <c:pt idx="205">
                    <c:v>middle age</c:v>
                  </c:pt>
                  <c:pt idx="206">
                    <c:v>middle age</c:v>
                  </c:pt>
                  <c:pt idx="207">
                    <c:v>middle age</c:v>
                  </c:pt>
                  <c:pt idx="208">
                    <c:v>middle age</c:v>
                  </c:pt>
                  <c:pt idx="209">
                    <c:v>middle age</c:v>
                  </c:pt>
                  <c:pt idx="210">
                    <c:v>middle age</c:v>
                  </c:pt>
                  <c:pt idx="211">
                    <c:v>middle age</c:v>
                  </c:pt>
                  <c:pt idx="212">
                    <c:v>middle age</c:v>
                  </c:pt>
                  <c:pt idx="213">
                    <c:v>middle age</c:v>
                  </c:pt>
                  <c:pt idx="214">
                    <c:v>middle age</c:v>
                  </c:pt>
                  <c:pt idx="215">
                    <c:v>middle age</c:v>
                  </c:pt>
                  <c:pt idx="216">
                    <c:v>middle age</c:v>
                  </c:pt>
                  <c:pt idx="217">
                    <c:v>middle age</c:v>
                  </c:pt>
                  <c:pt idx="218">
                    <c:v>middle age</c:v>
                  </c:pt>
                  <c:pt idx="219">
                    <c:v>middle age</c:v>
                  </c:pt>
                  <c:pt idx="220">
                    <c:v>middle age</c:v>
                  </c:pt>
                  <c:pt idx="221">
                    <c:v>middle age</c:v>
                  </c:pt>
                  <c:pt idx="222">
                    <c:v>middle age</c:v>
                  </c:pt>
                  <c:pt idx="223">
                    <c:v>middle age</c:v>
                  </c:pt>
                  <c:pt idx="224">
                    <c:v>middle age</c:v>
                  </c:pt>
                  <c:pt idx="225">
                    <c:v>middle age</c:v>
                  </c:pt>
                  <c:pt idx="226">
                    <c:v>middle age</c:v>
                  </c:pt>
                  <c:pt idx="227">
                    <c:v>middle age</c:v>
                  </c:pt>
                  <c:pt idx="228">
                    <c:v>middle age</c:v>
                  </c:pt>
                  <c:pt idx="229">
                    <c:v>middle age</c:v>
                  </c:pt>
                  <c:pt idx="230">
                    <c:v>middle age</c:v>
                  </c:pt>
                  <c:pt idx="231">
                    <c:v>middle age</c:v>
                  </c:pt>
                  <c:pt idx="232">
                    <c:v>middle age</c:v>
                  </c:pt>
                  <c:pt idx="233">
                    <c:v>middle age</c:v>
                  </c:pt>
                  <c:pt idx="234">
                    <c:v>middle age</c:v>
                  </c:pt>
                  <c:pt idx="235">
                    <c:v>middle age</c:v>
                  </c:pt>
                  <c:pt idx="236">
                    <c:v>middle age</c:v>
                  </c:pt>
                  <c:pt idx="237">
                    <c:v>middle age</c:v>
                  </c:pt>
                  <c:pt idx="238">
                    <c:v>middle age</c:v>
                  </c:pt>
                  <c:pt idx="239">
                    <c:v>middle age</c:v>
                  </c:pt>
                  <c:pt idx="240">
                    <c:v>middle age</c:v>
                  </c:pt>
                  <c:pt idx="241">
                    <c:v>middle age</c:v>
                  </c:pt>
                  <c:pt idx="242">
                    <c:v>middle age</c:v>
                  </c:pt>
                  <c:pt idx="243">
                    <c:v>middle age</c:v>
                  </c:pt>
                  <c:pt idx="244">
                    <c:v>middle age</c:v>
                  </c:pt>
                  <c:pt idx="245">
                    <c:v>middle age</c:v>
                  </c:pt>
                  <c:pt idx="246">
                    <c:v>middle age</c:v>
                  </c:pt>
                  <c:pt idx="247">
                    <c:v>middle age</c:v>
                  </c:pt>
                  <c:pt idx="248">
                    <c:v>middle age</c:v>
                  </c:pt>
                  <c:pt idx="249">
                    <c:v>middle age</c:v>
                  </c:pt>
                  <c:pt idx="250">
                    <c:v>middle age</c:v>
                  </c:pt>
                  <c:pt idx="251">
                    <c:v>middle age</c:v>
                  </c:pt>
                  <c:pt idx="252">
                    <c:v>middle age</c:v>
                  </c:pt>
                  <c:pt idx="253">
                    <c:v>middle age</c:v>
                  </c:pt>
                  <c:pt idx="254">
                    <c:v>middle age</c:v>
                  </c:pt>
                  <c:pt idx="255">
                    <c:v>middle age</c:v>
                  </c:pt>
                  <c:pt idx="256">
                    <c:v>middle age</c:v>
                  </c:pt>
                  <c:pt idx="257">
                    <c:v>middle age</c:v>
                  </c:pt>
                  <c:pt idx="258">
                    <c:v>middle age</c:v>
                  </c:pt>
                  <c:pt idx="259">
                    <c:v>middle age</c:v>
                  </c:pt>
                  <c:pt idx="260">
                    <c:v>middle age</c:v>
                  </c:pt>
                  <c:pt idx="261">
                    <c:v>middle age</c:v>
                  </c:pt>
                  <c:pt idx="262">
                    <c:v>middle age</c:v>
                  </c:pt>
                  <c:pt idx="263">
                    <c:v>middle age</c:v>
                  </c:pt>
                  <c:pt idx="264">
                    <c:v>middle age</c:v>
                  </c:pt>
                  <c:pt idx="265">
                    <c:v>middle age</c:v>
                  </c:pt>
                  <c:pt idx="266">
                    <c:v>middle age</c:v>
                  </c:pt>
                  <c:pt idx="267">
                    <c:v>middle age</c:v>
                  </c:pt>
                  <c:pt idx="268">
                    <c:v>middle age</c:v>
                  </c:pt>
                  <c:pt idx="269">
                    <c:v>middle age</c:v>
                  </c:pt>
                  <c:pt idx="270">
                    <c:v>middle age</c:v>
                  </c:pt>
                  <c:pt idx="271">
                    <c:v>middle age</c:v>
                  </c:pt>
                  <c:pt idx="272">
                    <c:v>middle age</c:v>
                  </c:pt>
                  <c:pt idx="273">
                    <c:v>middle age</c:v>
                  </c:pt>
                  <c:pt idx="274">
                    <c:v>middle age</c:v>
                  </c:pt>
                  <c:pt idx="275">
                    <c:v>middle age</c:v>
                  </c:pt>
                  <c:pt idx="276">
                    <c:v>middle age</c:v>
                  </c:pt>
                  <c:pt idx="277">
                    <c:v>middle age</c:v>
                  </c:pt>
                  <c:pt idx="278">
                    <c:v>old</c:v>
                  </c:pt>
                  <c:pt idx="279">
                    <c:v>old</c:v>
                  </c:pt>
                  <c:pt idx="280">
                    <c:v>old</c:v>
                  </c:pt>
                  <c:pt idx="281">
                    <c:v>old</c:v>
                  </c:pt>
                  <c:pt idx="282">
                    <c:v>old</c:v>
                  </c:pt>
                  <c:pt idx="283">
                    <c:v>old</c:v>
                  </c:pt>
                  <c:pt idx="284">
                    <c:v>old</c:v>
                  </c:pt>
                  <c:pt idx="285">
                    <c:v>old</c:v>
                  </c:pt>
                  <c:pt idx="286">
                    <c:v>old</c:v>
                  </c:pt>
                  <c:pt idx="287">
                    <c:v>old</c:v>
                  </c:pt>
                  <c:pt idx="288">
                    <c:v>old</c:v>
                  </c:pt>
                  <c:pt idx="289">
                    <c:v>old</c:v>
                  </c:pt>
                  <c:pt idx="290">
                    <c:v>old</c:v>
                  </c:pt>
                  <c:pt idx="291">
                    <c:v>old</c:v>
                  </c:pt>
                  <c:pt idx="292">
                    <c:v>old</c:v>
                  </c:pt>
                  <c:pt idx="293">
                    <c:v>old</c:v>
                  </c:pt>
                  <c:pt idx="294">
                    <c:v>old</c:v>
                  </c:pt>
                  <c:pt idx="295">
                    <c:v>old</c:v>
                  </c:pt>
                  <c:pt idx="296">
                    <c:v>old</c:v>
                  </c:pt>
                  <c:pt idx="297">
                    <c:v>old</c:v>
                  </c:pt>
                  <c:pt idx="298">
                    <c:v>old</c:v>
                  </c:pt>
                  <c:pt idx="299">
                    <c:v>old</c:v>
                  </c:pt>
                  <c:pt idx="300">
                    <c:v>old</c:v>
                  </c:pt>
                  <c:pt idx="301">
                    <c:v>old</c:v>
                  </c:pt>
                  <c:pt idx="302">
                    <c:v>old</c:v>
                  </c:pt>
                  <c:pt idx="303">
                    <c:v>old</c:v>
                  </c:pt>
                  <c:pt idx="304">
                    <c:v>old</c:v>
                  </c:pt>
                  <c:pt idx="305">
                    <c:v>old</c:v>
                  </c:pt>
                  <c:pt idx="306">
                    <c:v>old</c:v>
                  </c:pt>
                  <c:pt idx="307">
                    <c:v>old</c:v>
                  </c:pt>
                  <c:pt idx="308">
                    <c:v>old</c:v>
                  </c:pt>
                  <c:pt idx="309">
                    <c:v>old</c:v>
                  </c:pt>
                  <c:pt idx="310">
                    <c:v>old</c:v>
                  </c:pt>
                  <c:pt idx="311">
                    <c:v>old</c:v>
                  </c:pt>
                  <c:pt idx="312">
                    <c:v>old</c:v>
                  </c:pt>
                  <c:pt idx="313">
                    <c:v>old</c:v>
                  </c:pt>
                  <c:pt idx="314">
                    <c:v>old</c:v>
                  </c:pt>
                  <c:pt idx="315">
                    <c:v>old</c:v>
                  </c:pt>
                  <c:pt idx="316">
                    <c:v>old</c:v>
                  </c:pt>
                  <c:pt idx="317">
                    <c:v>old</c:v>
                  </c:pt>
                  <c:pt idx="318">
                    <c:v>old</c:v>
                  </c:pt>
                  <c:pt idx="319">
                    <c:v>old</c:v>
                  </c:pt>
                  <c:pt idx="320">
                    <c:v>old</c:v>
                  </c:pt>
                  <c:pt idx="321">
                    <c:v>old</c:v>
                  </c:pt>
                  <c:pt idx="322">
                    <c:v>old</c:v>
                  </c:pt>
                  <c:pt idx="323">
                    <c:v>old</c:v>
                  </c:pt>
                  <c:pt idx="324">
                    <c:v>old</c:v>
                  </c:pt>
                  <c:pt idx="325">
                    <c:v>old</c:v>
                  </c:pt>
                  <c:pt idx="326">
                    <c:v>old</c:v>
                  </c:pt>
                  <c:pt idx="327">
                    <c:v>old</c:v>
                  </c:pt>
                  <c:pt idx="328">
                    <c:v>old</c:v>
                  </c:pt>
                  <c:pt idx="329">
                    <c:v>old</c:v>
                  </c:pt>
                  <c:pt idx="330">
                    <c:v>old</c:v>
                  </c:pt>
                  <c:pt idx="331">
                    <c:v>old</c:v>
                  </c:pt>
                  <c:pt idx="332">
                    <c:v>old</c:v>
                  </c:pt>
                  <c:pt idx="333">
                    <c:v>old</c:v>
                  </c:pt>
                  <c:pt idx="334">
                    <c:v>old</c:v>
                  </c:pt>
                  <c:pt idx="335">
                    <c:v>old</c:v>
                  </c:pt>
                  <c:pt idx="336">
                    <c:v>old</c:v>
                  </c:pt>
                  <c:pt idx="337">
                    <c:v>old</c:v>
                  </c:pt>
                  <c:pt idx="338">
                    <c:v>old</c:v>
                  </c:pt>
                  <c:pt idx="339">
                    <c:v>old</c:v>
                  </c:pt>
                  <c:pt idx="340">
                    <c:v>old</c:v>
                  </c:pt>
                  <c:pt idx="341">
                    <c:v>old</c:v>
                  </c:pt>
                  <c:pt idx="342">
                    <c:v>old</c:v>
                  </c:pt>
                  <c:pt idx="343">
                    <c:v>old</c:v>
                  </c:pt>
                  <c:pt idx="344">
                    <c:v>old</c:v>
                  </c:pt>
                  <c:pt idx="345">
                    <c:v>old</c:v>
                  </c:pt>
                  <c:pt idx="346">
                    <c:v>old</c:v>
                  </c:pt>
                  <c:pt idx="347">
                    <c:v>old</c:v>
                  </c:pt>
                  <c:pt idx="348">
                    <c:v>old</c:v>
                  </c:pt>
                  <c:pt idx="349">
                    <c:v>old</c:v>
                  </c:pt>
                  <c:pt idx="350">
                    <c:v>old</c:v>
                  </c:pt>
                  <c:pt idx="351">
                    <c:v>old</c:v>
                  </c:pt>
                  <c:pt idx="352">
                    <c:v>old</c:v>
                  </c:pt>
                  <c:pt idx="353">
                    <c:v>old</c:v>
                  </c:pt>
                  <c:pt idx="354">
                    <c:v>old</c:v>
                  </c:pt>
                  <c:pt idx="355">
                    <c:v>old</c:v>
                  </c:pt>
                  <c:pt idx="356">
                    <c:v>old</c:v>
                  </c:pt>
                  <c:pt idx="357">
                    <c:v>old</c:v>
                  </c:pt>
                  <c:pt idx="358">
                    <c:v>old</c:v>
                  </c:pt>
                  <c:pt idx="359">
                    <c:v>old</c:v>
                  </c:pt>
                  <c:pt idx="360">
                    <c:v>old</c:v>
                  </c:pt>
                  <c:pt idx="361">
                    <c:v>old</c:v>
                  </c:pt>
                  <c:pt idx="362">
                    <c:v>old</c:v>
                  </c:pt>
                  <c:pt idx="363">
                    <c:v>old</c:v>
                  </c:pt>
                  <c:pt idx="364">
                    <c:v>old</c:v>
                  </c:pt>
                  <c:pt idx="365">
                    <c:v>old</c:v>
                  </c:pt>
                  <c:pt idx="366">
                    <c:v>old</c:v>
                  </c:pt>
                  <c:pt idx="367">
                    <c:v>old</c:v>
                  </c:pt>
                  <c:pt idx="368">
                    <c:v>old</c:v>
                  </c:pt>
                  <c:pt idx="369">
                    <c:v>old</c:v>
                  </c:pt>
                  <c:pt idx="370">
                    <c:v>old</c:v>
                  </c:pt>
                  <c:pt idx="371">
                    <c:v>old</c:v>
                  </c:pt>
                  <c:pt idx="372">
                    <c:v>old</c:v>
                  </c:pt>
                  <c:pt idx="373">
                    <c:v>old</c:v>
                  </c:pt>
                </c:lvl>
              </c:multiLvlStrCache>
            </c:multiLvlStrRef>
          </c:xVal>
          <c:yVal>
            <c:numRef>
              <c:f>formula!$F$2:$F$375</c:f>
              <c:numCache>
                <c:formatCode>General</c:formatCode>
                <c:ptCount val="374"/>
                <c:pt idx="0">
                  <c:v>6.1</c:v>
                </c:pt>
                <c:pt idx="1">
                  <c:v>6.2</c:v>
                </c:pt>
                <c:pt idx="2">
                  <c:v>6.2</c:v>
                </c:pt>
                <c:pt idx="3">
                  <c:v>5.9</c:v>
                </c:pt>
                <c:pt idx="4">
                  <c:v>5.9</c:v>
                </c:pt>
                <c:pt idx="5">
                  <c:v>5.9</c:v>
                </c:pt>
                <c:pt idx="6">
                  <c:v>6.3</c:v>
                </c:pt>
                <c:pt idx="7">
                  <c:v>7.8</c:v>
                </c:pt>
                <c:pt idx="8">
                  <c:v>7.8</c:v>
                </c:pt>
                <c:pt idx="9">
                  <c:v>7.8</c:v>
                </c:pt>
                <c:pt idx="10">
                  <c:v>6.1</c:v>
                </c:pt>
                <c:pt idx="11">
                  <c:v>7.8</c:v>
                </c:pt>
                <c:pt idx="12">
                  <c:v>6.1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6.5</c:v>
                </c:pt>
                <c:pt idx="17">
                  <c:v>6</c:v>
                </c:pt>
                <c:pt idx="18">
                  <c:v>6.5</c:v>
                </c:pt>
                <c:pt idx="19">
                  <c:v>7.6</c:v>
                </c:pt>
                <c:pt idx="20">
                  <c:v>7.7</c:v>
                </c:pt>
                <c:pt idx="21">
                  <c:v>7.7</c:v>
                </c:pt>
                <c:pt idx="22">
                  <c:v>7.7</c:v>
                </c:pt>
                <c:pt idx="23">
                  <c:v>7.7</c:v>
                </c:pt>
                <c:pt idx="24">
                  <c:v>7.8</c:v>
                </c:pt>
                <c:pt idx="25">
                  <c:v>7.9</c:v>
                </c:pt>
                <c:pt idx="26">
                  <c:v>7.8</c:v>
                </c:pt>
                <c:pt idx="27">
                  <c:v>7.9</c:v>
                </c:pt>
                <c:pt idx="28">
                  <c:v>7.9</c:v>
                </c:pt>
                <c:pt idx="29">
                  <c:v>7.9</c:v>
                </c:pt>
                <c:pt idx="30">
                  <c:v>6.4</c:v>
                </c:pt>
                <c:pt idx="31">
                  <c:v>6.4</c:v>
                </c:pt>
                <c:pt idx="32">
                  <c:v>7.9</c:v>
                </c:pt>
                <c:pt idx="33">
                  <c:v>6.1</c:v>
                </c:pt>
                <c:pt idx="34">
                  <c:v>7.7</c:v>
                </c:pt>
                <c:pt idx="35">
                  <c:v>6.1</c:v>
                </c:pt>
                <c:pt idx="36">
                  <c:v>6.1</c:v>
                </c:pt>
                <c:pt idx="37">
                  <c:v>7.6</c:v>
                </c:pt>
                <c:pt idx="38">
                  <c:v>7.6</c:v>
                </c:pt>
                <c:pt idx="39">
                  <c:v>7.6</c:v>
                </c:pt>
                <c:pt idx="40">
                  <c:v>7.7</c:v>
                </c:pt>
                <c:pt idx="41">
                  <c:v>7.7</c:v>
                </c:pt>
                <c:pt idx="42">
                  <c:v>7.7</c:v>
                </c:pt>
                <c:pt idx="43">
                  <c:v>7.8</c:v>
                </c:pt>
                <c:pt idx="44">
                  <c:v>7.7</c:v>
                </c:pt>
                <c:pt idx="45">
                  <c:v>7.8</c:v>
                </c:pt>
                <c:pt idx="46">
                  <c:v>7.7</c:v>
                </c:pt>
                <c:pt idx="47">
                  <c:v>7.8</c:v>
                </c:pt>
                <c:pt idx="48">
                  <c:v>7.7</c:v>
                </c:pt>
                <c:pt idx="49">
                  <c:v>7.7</c:v>
                </c:pt>
                <c:pt idx="50">
                  <c:v>7.5</c:v>
                </c:pt>
                <c:pt idx="51">
                  <c:v>7.5</c:v>
                </c:pt>
                <c:pt idx="52">
                  <c:v>6</c:v>
                </c:pt>
                <c:pt idx="53">
                  <c:v>7.6</c:v>
                </c:pt>
                <c:pt idx="54">
                  <c:v>6</c:v>
                </c:pt>
                <c:pt idx="55">
                  <c:v>6</c:v>
                </c:pt>
                <c:pt idx="56">
                  <c:v>7.7</c:v>
                </c:pt>
                <c:pt idx="57">
                  <c:v>6</c:v>
                </c:pt>
                <c:pt idx="58">
                  <c:v>6</c:v>
                </c:pt>
                <c:pt idx="59">
                  <c:v>7.7</c:v>
                </c:pt>
                <c:pt idx="60">
                  <c:v>6</c:v>
                </c:pt>
                <c:pt idx="61">
                  <c:v>6</c:v>
                </c:pt>
                <c:pt idx="62">
                  <c:v>6.2</c:v>
                </c:pt>
                <c:pt idx="63">
                  <c:v>6.2</c:v>
                </c:pt>
                <c:pt idx="64">
                  <c:v>6.2</c:v>
                </c:pt>
                <c:pt idx="65">
                  <c:v>6.2</c:v>
                </c:pt>
                <c:pt idx="66">
                  <c:v>7.2</c:v>
                </c:pt>
                <c:pt idx="67">
                  <c:v>6</c:v>
                </c:pt>
                <c:pt idx="68">
                  <c:v>6.2</c:v>
                </c:pt>
                <c:pt idx="69">
                  <c:v>6.2</c:v>
                </c:pt>
                <c:pt idx="70">
                  <c:v>6.1</c:v>
                </c:pt>
                <c:pt idx="71">
                  <c:v>6.1</c:v>
                </c:pt>
                <c:pt idx="72">
                  <c:v>6.1</c:v>
                </c:pt>
                <c:pt idx="73">
                  <c:v>6.1</c:v>
                </c:pt>
                <c:pt idx="74">
                  <c:v>6</c:v>
                </c:pt>
                <c:pt idx="75">
                  <c:v>6</c:v>
                </c:pt>
                <c:pt idx="76">
                  <c:v>6</c:v>
                </c:pt>
                <c:pt idx="77">
                  <c:v>6</c:v>
                </c:pt>
                <c:pt idx="78">
                  <c:v>6</c:v>
                </c:pt>
                <c:pt idx="79">
                  <c:v>6</c:v>
                </c:pt>
                <c:pt idx="80">
                  <c:v>5.8</c:v>
                </c:pt>
                <c:pt idx="81">
                  <c:v>5.8</c:v>
                </c:pt>
                <c:pt idx="82">
                  <c:v>6.7</c:v>
                </c:pt>
                <c:pt idx="83">
                  <c:v>6.7</c:v>
                </c:pt>
                <c:pt idx="84">
                  <c:v>7.5</c:v>
                </c:pt>
                <c:pt idx="85">
                  <c:v>7.2</c:v>
                </c:pt>
                <c:pt idx="86">
                  <c:v>7.2</c:v>
                </c:pt>
                <c:pt idx="87">
                  <c:v>7.2</c:v>
                </c:pt>
                <c:pt idx="88">
                  <c:v>7.3</c:v>
                </c:pt>
                <c:pt idx="89">
                  <c:v>7.3</c:v>
                </c:pt>
                <c:pt idx="90">
                  <c:v>7.3</c:v>
                </c:pt>
                <c:pt idx="91">
                  <c:v>7.3</c:v>
                </c:pt>
                <c:pt idx="92">
                  <c:v>7.5</c:v>
                </c:pt>
                <c:pt idx="93">
                  <c:v>7.4</c:v>
                </c:pt>
                <c:pt idx="94">
                  <c:v>7.2</c:v>
                </c:pt>
                <c:pt idx="95">
                  <c:v>7.1</c:v>
                </c:pt>
                <c:pt idx="96">
                  <c:v>7.2</c:v>
                </c:pt>
                <c:pt idx="97">
                  <c:v>7.1</c:v>
                </c:pt>
                <c:pt idx="98">
                  <c:v>7.1</c:v>
                </c:pt>
                <c:pt idx="99">
                  <c:v>7.1</c:v>
                </c:pt>
                <c:pt idx="100">
                  <c:v>7.2</c:v>
                </c:pt>
                <c:pt idx="101">
                  <c:v>7.2</c:v>
                </c:pt>
                <c:pt idx="102">
                  <c:v>7.2</c:v>
                </c:pt>
                <c:pt idx="103">
                  <c:v>6.6</c:v>
                </c:pt>
                <c:pt idx="104">
                  <c:v>7.2</c:v>
                </c:pt>
                <c:pt idx="105">
                  <c:v>6.6</c:v>
                </c:pt>
                <c:pt idx="106">
                  <c:v>6.1</c:v>
                </c:pt>
                <c:pt idx="107">
                  <c:v>7.8</c:v>
                </c:pt>
                <c:pt idx="108">
                  <c:v>7.8</c:v>
                </c:pt>
                <c:pt idx="109">
                  <c:v>7.4</c:v>
                </c:pt>
                <c:pt idx="110">
                  <c:v>7.2</c:v>
                </c:pt>
                <c:pt idx="111">
                  <c:v>7.4</c:v>
                </c:pt>
                <c:pt idx="112">
                  <c:v>7.2</c:v>
                </c:pt>
                <c:pt idx="113">
                  <c:v>7.4</c:v>
                </c:pt>
                <c:pt idx="114">
                  <c:v>7.2</c:v>
                </c:pt>
                <c:pt idx="115">
                  <c:v>7.2</c:v>
                </c:pt>
                <c:pt idx="116">
                  <c:v>7.2</c:v>
                </c:pt>
                <c:pt idx="117">
                  <c:v>7.2</c:v>
                </c:pt>
                <c:pt idx="118">
                  <c:v>7.2</c:v>
                </c:pt>
                <c:pt idx="119">
                  <c:v>7.2</c:v>
                </c:pt>
                <c:pt idx="120">
                  <c:v>7.2</c:v>
                </c:pt>
                <c:pt idx="121">
                  <c:v>7.2</c:v>
                </c:pt>
                <c:pt idx="122">
                  <c:v>7.2</c:v>
                </c:pt>
                <c:pt idx="123">
                  <c:v>7.2</c:v>
                </c:pt>
                <c:pt idx="124">
                  <c:v>7.2</c:v>
                </c:pt>
                <c:pt idx="125">
                  <c:v>7.5</c:v>
                </c:pt>
                <c:pt idx="126">
                  <c:v>7.3</c:v>
                </c:pt>
                <c:pt idx="127">
                  <c:v>7.1</c:v>
                </c:pt>
                <c:pt idx="128">
                  <c:v>7.3</c:v>
                </c:pt>
                <c:pt idx="129">
                  <c:v>7.3</c:v>
                </c:pt>
                <c:pt idx="130">
                  <c:v>7.1</c:v>
                </c:pt>
                <c:pt idx="131">
                  <c:v>7.3</c:v>
                </c:pt>
                <c:pt idx="132">
                  <c:v>7.3</c:v>
                </c:pt>
                <c:pt idx="133">
                  <c:v>7.1</c:v>
                </c:pt>
                <c:pt idx="134">
                  <c:v>7.3</c:v>
                </c:pt>
                <c:pt idx="135">
                  <c:v>7.3</c:v>
                </c:pt>
                <c:pt idx="136">
                  <c:v>7.1</c:v>
                </c:pt>
                <c:pt idx="137">
                  <c:v>7.1</c:v>
                </c:pt>
                <c:pt idx="138">
                  <c:v>7.1</c:v>
                </c:pt>
                <c:pt idx="139">
                  <c:v>7.1</c:v>
                </c:pt>
                <c:pt idx="140">
                  <c:v>7.1</c:v>
                </c:pt>
                <c:pt idx="141">
                  <c:v>7.1</c:v>
                </c:pt>
                <c:pt idx="142">
                  <c:v>7.1</c:v>
                </c:pt>
                <c:pt idx="143">
                  <c:v>7.1</c:v>
                </c:pt>
                <c:pt idx="144">
                  <c:v>7.1</c:v>
                </c:pt>
                <c:pt idx="145">
                  <c:v>7.4</c:v>
                </c:pt>
                <c:pt idx="146">
                  <c:v>7.2</c:v>
                </c:pt>
                <c:pt idx="147">
                  <c:v>6.5</c:v>
                </c:pt>
                <c:pt idx="148">
                  <c:v>6.9</c:v>
                </c:pt>
                <c:pt idx="149">
                  <c:v>8</c:v>
                </c:pt>
                <c:pt idx="150">
                  <c:v>8</c:v>
                </c:pt>
                <c:pt idx="151">
                  <c:v>7.2</c:v>
                </c:pt>
                <c:pt idx="152">
                  <c:v>7.2</c:v>
                </c:pt>
                <c:pt idx="153">
                  <c:v>7.2</c:v>
                </c:pt>
                <c:pt idx="154">
                  <c:v>7.2</c:v>
                </c:pt>
                <c:pt idx="155">
                  <c:v>7.2</c:v>
                </c:pt>
                <c:pt idx="156">
                  <c:v>7.2</c:v>
                </c:pt>
                <c:pt idx="157">
                  <c:v>7.2</c:v>
                </c:pt>
                <c:pt idx="158">
                  <c:v>7.2</c:v>
                </c:pt>
                <c:pt idx="159">
                  <c:v>7.2</c:v>
                </c:pt>
                <c:pt idx="160">
                  <c:v>7.2</c:v>
                </c:pt>
                <c:pt idx="161">
                  <c:v>7.2</c:v>
                </c:pt>
                <c:pt idx="162">
                  <c:v>7.2</c:v>
                </c:pt>
                <c:pt idx="163">
                  <c:v>7.9</c:v>
                </c:pt>
                <c:pt idx="164">
                  <c:v>7.9</c:v>
                </c:pt>
                <c:pt idx="165">
                  <c:v>7.6</c:v>
                </c:pt>
                <c:pt idx="166">
                  <c:v>7.3</c:v>
                </c:pt>
                <c:pt idx="167">
                  <c:v>7.1</c:v>
                </c:pt>
                <c:pt idx="168">
                  <c:v>7.1</c:v>
                </c:pt>
                <c:pt idx="169">
                  <c:v>7.7</c:v>
                </c:pt>
                <c:pt idx="170">
                  <c:v>7.7</c:v>
                </c:pt>
                <c:pt idx="171">
                  <c:v>7.7</c:v>
                </c:pt>
                <c:pt idx="172">
                  <c:v>7.7</c:v>
                </c:pt>
                <c:pt idx="173">
                  <c:v>7.7</c:v>
                </c:pt>
                <c:pt idx="174">
                  <c:v>7.6</c:v>
                </c:pt>
                <c:pt idx="175">
                  <c:v>7.6</c:v>
                </c:pt>
                <c:pt idx="176">
                  <c:v>7.6</c:v>
                </c:pt>
                <c:pt idx="177">
                  <c:v>6.5</c:v>
                </c:pt>
                <c:pt idx="178">
                  <c:v>7.8</c:v>
                </c:pt>
                <c:pt idx="179">
                  <c:v>7.8</c:v>
                </c:pt>
                <c:pt idx="180">
                  <c:v>7.8</c:v>
                </c:pt>
                <c:pt idx="181">
                  <c:v>7.8</c:v>
                </c:pt>
                <c:pt idx="182">
                  <c:v>7.8</c:v>
                </c:pt>
                <c:pt idx="183">
                  <c:v>7.8</c:v>
                </c:pt>
                <c:pt idx="184">
                  <c:v>6.8</c:v>
                </c:pt>
                <c:pt idx="185">
                  <c:v>6.8</c:v>
                </c:pt>
                <c:pt idx="186">
                  <c:v>6.7</c:v>
                </c:pt>
                <c:pt idx="187">
                  <c:v>6.3</c:v>
                </c:pt>
                <c:pt idx="188">
                  <c:v>6.7</c:v>
                </c:pt>
                <c:pt idx="189">
                  <c:v>6.5</c:v>
                </c:pt>
                <c:pt idx="190">
                  <c:v>6.7</c:v>
                </c:pt>
                <c:pt idx="191">
                  <c:v>6.4</c:v>
                </c:pt>
                <c:pt idx="192">
                  <c:v>6.5</c:v>
                </c:pt>
                <c:pt idx="193">
                  <c:v>6.5</c:v>
                </c:pt>
                <c:pt idx="194">
                  <c:v>6.5</c:v>
                </c:pt>
                <c:pt idx="195">
                  <c:v>6.5</c:v>
                </c:pt>
                <c:pt idx="196">
                  <c:v>6.5</c:v>
                </c:pt>
                <c:pt idx="197">
                  <c:v>6.5</c:v>
                </c:pt>
                <c:pt idx="198">
                  <c:v>6.5</c:v>
                </c:pt>
                <c:pt idx="199">
                  <c:v>6.5</c:v>
                </c:pt>
                <c:pt idx="200">
                  <c:v>6.5</c:v>
                </c:pt>
                <c:pt idx="201">
                  <c:v>7.8</c:v>
                </c:pt>
                <c:pt idx="202">
                  <c:v>7.8</c:v>
                </c:pt>
                <c:pt idx="203">
                  <c:v>6.9</c:v>
                </c:pt>
                <c:pt idx="204">
                  <c:v>7.6</c:v>
                </c:pt>
                <c:pt idx="205">
                  <c:v>7.7</c:v>
                </c:pt>
                <c:pt idx="206">
                  <c:v>7.7</c:v>
                </c:pt>
                <c:pt idx="207">
                  <c:v>7.7</c:v>
                </c:pt>
                <c:pt idx="208">
                  <c:v>7.7</c:v>
                </c:pt>
                <c:pt idx="209">
                  <c:v>7.8</c:v>
                </c:pt>
                <c:pt idx="210">
                  <c:v>7.7</c:v>
                </c:pt>
                <c:pt idx="211">
                  <c:v>7.8</c:v>
                </c:pt>
                <c:pt idx="212">
                  <c:v>7.8</c:v>
                </c:pt>
                <c:pt idx="213">
                  <c:v>7.8</c:v>
                </c:pt>
                <c:pt idx="214">
                  <c:v>7.8</c:v>
                </c:pt>
                <c:pt idx="215">
                  <c:v>7.8</c:v>
                </c:pt>
                <c:pt idx="216">
                  <c:v>7.8</c:v>
                </c:pt>
                <c:pt idx="217">
                  <c:v>7.8</c:v>
                </c:pt>
                <c:pt idx="218">
                  <c:v>7.8</c:v>
                </c:pt>
                <c:pt idx="219">
                  <c:v>6.5</c:v>
                </c:pt>
                <c:pt idx="220">
                  <c:v>6.6</c:v>
                </c:pt>
                <c:pt idx="221">
                  <c:v>6.4</c:v>
                </c:pt>
                <c:pt idx="222">
                  <c:v>6.3</c:v>
                </c:pt>
                <c:pt idx="223">
                  <c:v>6.4</c:v>
                </c:pt>
                <c:pt idx="224">
                  <c:v>6.6</c:v>
                </c:pt>
                <c:pt idx="225">
                  <c:v>6.3</c:v>
                </c:pt>
                <c:pt idx="226">
                  <c:v>6.6</c:v>
                </c:pt>
                <c:pt idx="227">
                  <c:v>6.3</c:v>
                </c:pt>
                <c:pt idx="228">
                  <c:v>6.6</c:v>
                </c:pt>
                <c:pt idx="229">
                  <c:v>6.3</c:v>
                </c:pt>
                <c:pt idx="230">
                  <c:v>6.6</c:v>
                </c:pt>
                <c:pt idx="231">
                  <c:v>6.3</c:v>
                </c:pt>
                <c:pt idx="232">
                  <c:v>6.6</c:v>
                </c:pt>
                <c:pt idx="233">
                  <c:v>6.3</c:v>
                </c:pt>
                <c:pt idx="234">
                  <c:v>6.6</c:v>
                </c:pt>
                <c:pt idx="235">
                  <c:v>6.3</c:v>
                </c:pt>
                <c:pt idx="236">
                  <c:v>6.4</c:v>
                </c:pt>
                <c:pt idx="237">
                  <c:v>6.5</c:v>
                </c:pt>
                <c:pt idx="238">
                  <c:v>6.3</c:v>
                </c:pt>
                <c:pt idx="239">
                  <c:v>6.4</c:v>
                </c:pt>
                <c:pt idx="240">
                  <c:v>6.5</c:v>
                </c:pt>
                <c:pt idx="241">
                  <c:v>6.3</c:v>
                </c:pt>
                <c:pt idx="242">
                  <c:v>6.4</c:v>
                </c:pt>
                <c:pt idx="243">
                  <c:v>6.5</c:v>
                </c:pt>
                <c:pt idx="244">
                  <c:v>6.3</c:v>
                </c:pt>
                <c:pt idx="245">
                  <c:v>6.5</c:v>
                </c:pt>
                <c:pt idx="246">
                  <c:v>6.3</c:v>
                </c:pt>
                <c:pt idx="247">
                  <c:v>6.8</c:v>
                </c:pt>
                <c:pt idx="248">
                  <c:v>6.4</c:v>
                </c:pt>
                <c:pt idx="249">
                  <c:v>6.5</c:v>
                </c:pt>
                <c:pt idx="250">
                  <c:v>6.8</c:v>
                </c:pt>
                <c:pt idx="251">
                  <c:v>6.8</c:v>
                </c:pt>
                <c:pt idx="252">
                  <c:v>6.5</c:v>
                </c:pt>
                <c:pt idx="253">
                  <c:v>6.5</c:v>
                </c:pt>
                <c:pt idx="254">
                  <c:v>6.5</c:v>
                </c:pt>
                <c:pt idx="255">
                  <c:v>6.5</c:v>
                </c:pt>
                <c:pt idx="256">
                  <c:v>6.6</c:v>
                </c:pt>
                <c:pt idx="257">
                  <c:v>6.6</c:v>
                </c:pt>
                <c:pt idx="258">
                  <c:v>6.6</c:v>
                </c:pt>
                <c:pt idx="259">
                  <c:v>6.6</c:v>
                </c:pt>
                <c:pt idx="260">
                  <c:v>6.6</c:v>
                </c:pt>
                <c:pt idx="261">
                  <c:v>6.6</c:v>
                </c:pt>
                <c:pt idx="262">
                  <c:v>6.6</c:v>
                </c:pt>
                <c:pt idx="263">
                  <c:v>6.9</c:v>
                </c:pt>
                <c:pt idx="264">
                  <c:v>7.3</c:v>
                </c:pt>
                <c:pt idx="265">
                  <c:v>5.9</c:v>
                </c:pt>
                <c:pt idx="266">
                  <c:v>7.3</c:v>
                </c:pt>
                <c:pt idx="267">
                  <c:v>6.2</c:v>
                </c:pt>
                <c:pt idx="268">
                  <c:v>6</c:v>
                </c:pt>
                <c:pt idx="269">
                  <c:v>6.1</c:v>
                </c:pt>
                <c:pt idx="270">
                  <c:v>6.1</c:v>
                </c:pt>
                <c:pt idx="271">
                  <c:v>6.1</c:v>
                </c:pt>
                <c:pt idx="272">
                  <c:v>6.1</c:v>
                </c:pt>
                <c:pt idx="273">
                  <c:v>6.2</c:v>
                </c:pt>
                <c:pt idx="274">
                  <c:v>6.2</c:v>
                </c:pt>
                <c:pt idx="275">
                  <c:v>6.2</c:v>
                </c:pt>
                <c:pt idx="276">
                  <c:v>8.1</c:v>
                </c:pt>
                <c:pt idx="277">
                  <c:v>8.1</c:v>
                </c:pt>
                <c:pt idx="278">
                  <c:v>6.1</c:v>
                </c:pt>
                <c:pt idx="279">
                  <c:v>8.3000000000000007</c:v>
                </c:pt>
                <c:pt idx="280">
                  <c:v>6</c:v>
                </c:pt>
                <c:pt idx="281">
                  <c:v>6.1</c:v>
                </c:pt>
                <c:pt idx="282">
                  <c:v>6</c:v>
                </c:pt>
                <c:pt idx="283">
                  <c:v>6</c:v>
                </c:pt>
                <c:pt idx="284">
                  <c:v>6</c:v>
                </c:pt>
                <c:pt idx="285">
                  <c:v>6</c:v>
                </c:pt>
                <c:pt idx="286">
                  <c:v>6</c:v>
                </c:pt>
                <c:pt idx="287">
                  <c:v>6</c:v>
                </c:pt>
                <c:pt idx="288">
                  <c:v>6</c:v>
                </c:pt>
                <c:pt idx="289">
                  <c:v>6.1</c:v>
                </c:pt>
                <c:pt idx="290">
                  <c:v>6</c:v>
                </c:pt>
                <c:pt idx="291">
                  <c:v>6.1</c:v>
                </c:pt>
                <c:pt idx="292">
                  <c:v>6.1</c:v>
                </c:pt>
                <c:pt idx="293">
                  <c:v>6</c:v>
                </c:pt>
                <c:pt idx="294">
                  <c:v>6.1</c:v>
                </c:pt>
                <c:pt idx="295">
                  <c:v>6</c:v>
                </c:pt>
                <c:pt idx="296">
                  <c:v>6.1</c:v>
                </c:pt>
                <c:pt idx="297">
                  <c:v>6.1</c:v>
                </c:pt>
                <c:pt idx="298">
                  <c:v>8.5</c:v>
                </c:pt>
                <c:pt idx="299">
                  <c:v>8.5</c:v>
                </c:pt>
                <c:pt idx="300">
                  <c:v>8.5</c:v>
                </c:pt>
                <c:pt idx="301">
                  <c:v>8.5</c:v>
                </c:pt>
                <c:pt idx="302">
                  <c:v>7.1</c:v>
                </c:pt>
                <c:pt idx="303">
                  <c:v>6</c:v>
                </c:pt>
                <c:pt idx="304">
                  <c:v>6.1</c:v>
                </c:pt>
                <c:pt idx="305">
                  <c:v>6.1</c:v>
                </c:pt>
                <c:pt idx="306">
                  <c:v>6.5</c:v>
                </c:pt>
                <c:pt idx="307">
                  <c:v>6.5</c:v>
                </c:pt>
                <c:pt idx="308">
                  <c:v>6.6</c:v>
                </c:pt>
                <c:pt idx="309">
                  <c:v>6.6</c:v>
                </c:pt>
                <c:pt idx="310">
                  <c:v>6.6</c:v>
                </c:pt>
                <c:pt idx="311">
                  <c:v>6.6</c:v>
                </c:pt>
                <c:pt idx="312">
                  <c:v>8.4</c:v>
                </c:pt>
                <c:pt idx="313">
                  <c:v>8.4</c:v>
                </c:pt>
                <c:pt idx="314">
                  <c:v>8.4</c:v>
                </c:pt>
                <c:pt idx="315">
                  <c:v>8.3000000000000007</c:v>
                </c:pt>
                <c:pt idx="316">
                  <c:v>8.5</c:v>
                </c:pt>
                <c:pt idx="317">
                  <c:v>8.5</c:v>
                </c:pt>
                <c:pt idx="318">
                  <c:v>8.4</c:v>
                </c:pt>
                <c:pt idx="319">
                  <c:v>8.4</c:v>
                </c:pt>
                <c:pt idx="320">
                  <c:v>8.5</c:v>
                </c:pt>
                <c:pt idx="321">
                  <c:v>8.4</c:v>
                </c:pt>
                <c:pt idx="322">
                  <c:v>8.4</c:v>
                </c:pt>
                <c:pt idx="323">
                  <c:v>8.5</c:v>
                </c:pt>
                <c:pt idx="324">
                  <c:v>8.3000000000000007</c:v>
                </c:pt>
                <c:pt idx="325">
                  <c:v>8.5</c:v>
                </c:pt>
                <c:pt idx="326">
                  <c:v>8.3000000000000007</c:v>
                </c:pt>
                <c:pt idx="327">
                  <c:v>8.5</c:v>
                </c:pt>
                <c:pt idx="328">
                  <c:v>8.3000000000000007</c:v>
                </c:pt>
                <c:pt idx="329">
                  <c:v>8.5</c:v>
                </c:pt>
                <c:pt idx="330">
                  <c:v>8.5</c:v>
                </c:pt>
                <c:pt idx="331">
                  <c:v>8.4</c:v>
                </c:pt>
                <c:pt idx="332">
                  <c:v>8.4</c:v>
                </c:pt>
                <c:pt idx="333">
                  <c:v>8.4</c:v>
                </c:pt>
                <c:pt idx="334">
                  <c:v>8.4</c:v>
                </c:pt>
                <c:pt idx="335">
                  <c:v>8.4</c:v>
                </c:pt>
                <c:pt idx="336">
                  <c:v>8.4</c:v>
                </c:pt>
                <c:pt idx="337">
                  <c:v>8.4</c:v>
                </c:pt>
                <c:pt idx="338">
                  <c:v>8.5</c:v>
                </c:pt>
                <c:pt idx="339">
                  <c:v>8.1</c:v>
                </c:pt>
                <c:pt idx="340">
                  <c:v>8.1</c:v>
                </c:pt>
                <c:pt idx="341">
                  <c:v>8.1999999999999993</c:v>
                </c:pt>
                <c:pt idx="342">
                  <c:v>8.1999999999999993</c:v>
                </c:pt>
                <c:pt idx="343">
                  <c:v>8.1</c:v>
                </c:pt>
                <c:pt idx="344">
                  <c:v>8.1999999999999993</c:v>
                </c:pt>
                <c:pt idx="345">
                  <c:v>8.1999999999999993</c:v>
                </c:pt>
                <c:pt idx="346">
                  <c:v>8.1999999999999993</c:v>
                </c:pt>
                <c:pt idx="347">
                  <c:v>8.1999999999999993</c:v>
                </c:pt>
                <c:pt idx="348">
                  <c:v>8.1999999999999993</c:v>
                </c:pt>
                <c:pt idx="349">
                  <c:v>8.1</c:v>
                </c:pt>
                <c:pt idx="350">
                  <c:v>8.1</c:v>
                </c:pt>
                <c:pt idx="351">
                  <c:v>8.1</c:v>
                </c:pt>
                <c:pt idx="352">
                  <c:v>8</c:v>
                </c:pt>
                <c:pt idx="353">
                  <c:v>8</c:v>
                </c:pt>
                <c:pt idx="354">
                  <c:v>8</c:v>
                </c:pt>
                <c:pt idx="355">
                  <c:v>8</c:v>
                </c:pt>
                <c:pt idx="356">
                  <c:v>8</c:v>
                </c:pt>
                <c:pt idx="357">
                  <c:v>8</c:v>
                </c:pt>
                <c:pt idx="358">
                  <c:v>8</c:v>
                </c:pt>
                <c:pt idx="359">
                  <c:v>8.1</c:v>
                </c:pt>
                <c:pt idx="360">
                  <c:v>8.1999999999999993</c:v>
                </c:pt>
                <c:pt idx="361">
                  <c:v>8.1999999999999993</c:v>
                </c:pt>
                <c:pt idx="362">
                  <c:v>8.1999999999999993</c:v>
                </c:pt>
                <c:pt idx="363">
                  <c:v>8.1999999999999993</c:v>
                </c:pt>
                <c:pt idx="364">
                  <c:v>8</c:v>
                </c:pt>
                <c:pt idx="365">
                  <c:v>8</c:v>
                </c:pt>
                <c:pt idx="366">
                  <c:v>8.1</c:v>
                </c:pt>
                <c:pt idx="367">
                  <c:v>8</c:v>
                </c:pt>
                <c:pt idx="368">
                  <c:v>8.1</c:v>
                </c:pt>
                <c:pt idx="369">
                  <c:v>8.1</c:v>
                </c:pt>
                <c:pt idx="370">
                  <c:v>8</c:v>
                </c:pt>
                <c:pt idx="371">
                  <c:v>8.1</c:v>
                </c:pt>
                <c:pt idx="372">
                  <c:v>8.1</c:v>
                </c:pt>
                <c:pt idx="373">
                  <c:v>8.1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0A6-474B-B056-124ED3DC665C}"/>
            </c:ext>
          </c:extLst>
        </c:ser>
        <c:ser>
          <c:idx val="1"/>
          <c:order val="1"/>
          <c:tx>
            <c:strRef>
              <c:f>formula!$G$1</c:f>
              <c:strCache>
                <c:ptCount val="1"/>
                <c:pt idx="0">
                  <c:v>Quality of Sleep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multiLvlStrRef>
              <c:f>formula!$D$2:$E$375</c:f>
              <c:multiLvlStrCache>
                <c:ptCount val="374"/>
                <c:lvl>
                  <c:pt idx="0">
                    <c:v>Software Engineer</c:v>
                  </c:pt>
                  <c:pt idx="1">
                    <c:v>Doctor</c:v>
                  </c:pt>
                  <c:pt idx="2">
                    <c:v>Doctor</c:v>
                  </c:pt>
                  <c:pt idx="3">
                    <c:v>Sales Representative</c:v>
                  </c:pt>
                  <c:pt idx="4">
                    <c:v>Sales Representative</c:v>
                  </c:pt>
                  <c:pt idx="5">
                    <c:v>Software Engineer</c:v>
                  </c:pt>
                  <c:pt idx="6">
                    <c:v>Teacher</c:v>
                  </c:pt>
                  <c:pt idx="7">
                    <c:v>Doctor</c:v>
                  </c:pt>
                  <c:pt idx="8">
                    <c:v>Doctor</c:v>
                  </c:pt>
                  <c:pt idx="9">
                    <c:v>Doctor</c:v>
                  </c:pt>
                  <c:pt idx="10">
                    <c:v>Doctor</c:v>
                  </c:pt>
                  <c:pt idx="11">
                    <c:v>Doctor</c:v>
                  </c:pt>
                  <c:pt idx="12">
                    <c:v>Doctor</c:v>
                  </c:pt>
                  <c:pt idx="13">
                    <c:v>Doctor</c:v>
                  </c:pt>
                  <c:pt idx="14">
                    <c:v>Doctor</c:v>
                  </c:pt>
                  <c:pt idx="15">
                    <c:v>Doctor</c:v>
                  </c:pt>
                  <c:pt idx="16">
                    <c:v>Nurse</c:v>
                  </c:pt>
                  <c:pt idx="17">
                    <c:v>Doctor</c:v>
                  </c:pt>
                  <c:pt idx="18">
                    <c:v>Nurse</c:v>
                  </c:pt>
                  <c:pt idx="19">
                    <c:v>Doctor</c:v>
                  </c:pt>
                  <c:pt idx="20">
                    <c:v>Doctor</c:v>
                  </c:pt>
                  <c:pt idx="21">
                    <c:v>Doctor</c:v>
                  </c:pt>
                  <c:pt idx="22">
                    <c:v>Doctor</c:v>
                  </c:pt>
                  <c:pt idx="23">
                    <c:v>Doctor</c:v>
                  </c:pt>
                  <c:pt idx="24">
                    <c:v>Doctor</c:v>
                  </c:pt>
                  <c:pt idx="25">
                    <c:v>Doctor</c:v>
                  </c:pt>
                  <c:pt idx="26">
                    <c:v>Doctor</c:v>
                  </c:pt>
                  <c:pt idx="27">
                    <c:v>Doctor</c:v>
                  </c:pt>
                  <c:pt idx="28">
                    <c:v>Doctor</c:v>
                  </c:pt>
                  <c:pt idx="29">
                    <c:v>Doctor</c:v>
                  </c:pt>
                  <c:pt idx="30">
                    <c:v>Nurse</c:v>
                  </c:pt>
                  <c:pt idx="31">
                    <c:v>Nurse</c:v>
                  </c:pt>
                  <c:pt idx="32">
                    <c:v>Nurse</c:v>
                  </c:pt>
                  <c:pt idx="33">
                    <c:v>Doctor</c:v>
                  </c:pt>
                  <c:pt idx="34">
                    <c:v>Doctor</c:v>
                  </c:pt>
                  <c:pt idx="35">
                    <c:v>Doctor</c:v>
                  </c:pt>
                  <c:pt idx="36">
                    <c:v>Doctor</c:v>
                  </c:pt>
                  <c:pt idx="37">
                    <c:v>Doctor</c:v>
                  </c:pt>
                  <c:pt idx="38">
                    <c:v>Doctor</c:v>
                  </c:pt>
                  <c:pt idx="39">
                    <c:v>Doctor</c:v>
                  </c:pt>
                  <c:pt idx="40">
                    <c:v>Doctor</c:v>
                  </c:pt>
                  <c:pt idx="41">
                    <c:v>Doctor</c:v>
                  </c:pt>
                  <c:pt idx="42">
                    <c:v>Doctor</c:v>
                  </c:pt>
                  <c:pt idx="43">
                    <c:v>Doctor</c:v>
                  </c:pt>
                  <c:pt idx="44">
                    <c:v>Doctor</c:v>
                  </c:pt>
                  <c:pt idx="45">
                    <c:v>Doctor</c:v>
                  </c:pt>
                  <c:pt idx="46">
                    <c:v>Doctor</c:v>
                  </c:pt>
                  <c:pt idx="47">
                    <c:v>Doctor</c:v>
                  </c:pt>
                  <c:pt idx="48">
                    <c:v>Doctor</c:v>
                  </c:pt>
                  <c:pt idx="49">
                    <c:v>Doctor</c:v>
                  </c:pt>
                  <c:pt idx="50">
                    <c:v>Engineer</c:v>
                  </c:pt>
                  <c:pt idx="51">
                    <c:v>Engineer</c:v>
                  </c:pt>
                  <c:pt idx="52">
                    <c:v>Doctor</c:v>
                  </c:pt>
                  <c:pt idx="53">
                    <c:v>Doctor</c:v>
                  </c:pt>
                  <c:pt idx="54">
                    <c:v>Doctor</c:v>
                  </c:pt>
                  <c:pt idx="55">
                    <c:v>Doctor</c:v>
                  </c:pt>
                  <c:pt idx="56">
                    <c:v>Doctor</c:v>
                  </c:pt>
                  <c:pt idx="57">
                    <c:v>Doctor</c:v>
                  </c:pt>
                  <c:pt idx="58">
                    <c:v>Doctor</c:v>
                  </c:pt>
                  <c:pt idx="59">
                    <c:v>Doctor</c:v>
                  </c:pt>
                  <c:pt idx="60">
                    <c:v>Doctor</c:v>
                  </c:pt>
                  <c:pt idx="61">
                    <c:v>Doctor</c:v>
                  </c:pt>
                  <c:pt idx="62">
                    <c:v>Doctor</c:v>
                  </c:pt>
                  <c:pt idx="63">
                    <c:v>Doctor</c:v>
                  </c:pt>
                  <c:pt idx="64">
                    <c:v>Doctor</c:v>
                  </c:pt>
                  <c:pt idx="65">
                    <c:v>Doctor</c:v>
                  </c:pt>
                  <c:pt idx="66">
                    <c:v>Accountant</c:v>
                  </c:pt>
                  <c:pt idx="67">
                    <c:v>Doctor</c:v>
                  </c:pt>
                  <c:pt idx="68">
                    <c:v>Scientist</c:v>
                  </c:pt>
                  <c:pt idx="69">
                    <c:v>Scientist</c:v>
                  </c:pt>
                  <c:pt idx="70">
                    <c:v>Doctor</c:v>
                  </c:pt>
                  <c:pt idx="71">
                    <c:v>Doctor</c:v>
                  </c:pt>
                  <c:pt idx="72">
                    <c:v>Doctor</c:v>
                  </c:pt>
                  <c:pt idx="73">
                    <c:v>Doctor</c:v>
                  </c:pt>
                  <c:pt idx="74">
                    <c:v>Doctor</c:v>
                  </c:pt>
                  <c:pt idx="75">
                    <c:v>Doctor</c:v>
                  </c:pt>
                  <c:pt idx="76">
                    <c:v>Doctor</c:v>
                  </c:pt>
                  <c:pt idx="77">
                    <c:v>Doctor</c:v>
                  </c:pt>
                  <c:pt idx="78">
                    <c:v>Doctor</c:v>
                  </c:pt>
                  <c:pt idx="79">
                    <c:v>Doctor</c:v>
                  </c:pt>
                  <c:pt idx="80">
                    <c:v>Scientist</c:v>
                  </c:pt>
                  <c:pt idx="81">
                    <c:v>Scientist</c:v>
                  </c:pt>
                  <c:pt idx="82">
                    <c:v>Teacher</c:v>
                  </c:pt>
                  <c:pt idx="83">
                    <c:v>Teacher</c:v>
                  </c:pt>
                  <c:pt idx="84">
                    <c:v>Software Engineer</c:v>
                  </c:pt>
                  <c:pt idx="85">
                    <c:v>Accountant</c:v>
                  </c:pt>
                  <c:pt idx="86">
                    <c:v>Engineer</c:v>
                  </c:pt>
                  <c:pt idx="87">
                    <c:v>Engineer</c:v>
                  </c:pt>
                  <c:pt idx="88">
                    <c:v>Engineer</c:v>
                  </c:pt>
                  <c:pt idx="89">
                    <c:v>Engineer</c:v>
                  </c:pt>
                  <c:pt idx="90">
                    <c:v>Engineer</c:v>
                  </c:pt>
                  <c:pt idx="91">
                    <c:v>Engineer</c:v>
                  </c:pt>
                  <c:pt idx="92">
                    <c:v>Software Engineer</c:v>
                  </c:pt>
                  <c:pt idx="93">
                    <c:v>Lawyer</c:v>
                  </c:pt>
                  <c:pt idx="94">
                    <c:v>Accountant</c:v>
                  </c:pt>
                  <c:pt idx="95">
                    <c:v>Accountant</c:v>
                  </c:pt>
                  <c:pt idx="96">
                    <c:v>Accountant</c:v>
                  </c:pt>
                  <c:pt idx="97">
                    <c:v>Accountant</c:v>
                  </c:pt>
                  <c:pt idx="98">
                    <c:v>Teacher</c:v>
                  </c:pt>
                  <c:pt idx="99">
                    <c:v>Teacher</c:v>
                  </c:pt>
                  <c:pt idx="100">
                    <c:v>Teacher</c:v>
                  </c:pt>
                  <c:pt idx="101">
                    <c:v>Teacher</c:v>
                  </c:pt>
                  <c:pt idx="102">
                    <c:v>Teacher</c:v>
                  </c:pt>
                  <c:pt idx="103">
                    <c:v>Teacher</c:v>
                  </c:pt>
                  <c:pt idx="104">
                    <c:v>Teacher</c:v>
                  </c:pt>
                  <c:pt idx="105">
                    <c:v>Teacher</c:v>
                  </c:pt>
                  <c:pt idx="106">
                    <c:v>Nurse</c:v>
                  </c:pt>
                  <c:pt idx="107">
                    <c:v>Engineer</c:v>
                  </c:pt>
                  <c:pt idx="108">
                    <c:v>Engineer</c:v>
                  </c:pt>
                  <c:pt idx="109">
                    <c:v>Lawyer</c:v>
                  </c:pt>
                  <c:pt idx="110">
                    <c:v>Accountant</c:v>
                  </c:pt>
                  <c:pt idx="111">
                    <c:v>Lawyer</c:v>
                  </c:pt>
                  <c:pt idx="112">
                    <c:v>Accountant</c:v>
                  </c:pt>
                  <c:pt idx="113">
                    <c:v>Lawyer</c:v>
                  </c:pt>
                  <c:pt idx="114">
                    <c:v>Accountant</c:v>
                  </c:pt>
                  <c:pt idx="115">
                    <c:v>Accountant</c:v>
                  </c:pt>
                  <c:pt idx="116">
                    <c:v>Accountant</c:v>
                  </c:pt>
                  <c:pt idx="117">
                    <c:v>Accountant</c:v>
                  </c:pt>
                  <c:pt idx="118">
                    <c:v>Accountant</c:v>
                  </c:pt>
                  <c:pt idx="119">
                    <c:v>Accountant</c:v>
                  </c:pt>
                  <c:pt idx="120">
                    <c:v>Accountant</c:v>
                  </c:pt>
                  <c:pt idx="121">
                    <c:v>Accountant</c:v>
                  </c:pt>
                  <c:pt idx="122">
                    <c:v>Accountant</c:v>
                  </c:pt>
                  <c:pt idx="123">
                    <c:v>Accountant</c:v>
                  </c:pt>
                  <c:pt idx="124">
                    <c:v>Accountant</c:v>
                  </c:pt>
                  <c:pt idx="125">
                    <c:v>Nurse</c:v>
                  </c:pt>
                  <c:pt idx="126">
                    <c:v>Lawyer</c:v>
                  </c:pt>
                  <c:pt idx="127">
                    <c:v>Accountant</c:v>
                  </c:pt>
                  <c:pt idx="128">
                    <c:v>Lawyer</c:v>
                  </c:pt>
                  <c:pt idx="129">
                    <c:v>Lawyer</c:v>
                  </c:pt>
                  <c:pt idx="130">
                    <c:v>Accountant</c:v>
                  </c:pt>
                  <c:pt idx="131">
                    <c:v>Lawyer</c:v>
                  </c:pt>
                  <c:pt idx="132">
                    <c:v>Lawyer</c:v>
                  </c:pt>
                  <c:pt idx="133">
                    <c:v>Accountant</c:v>
                  </c:pt>
                  <c:pt idx="134">
                    <c:v>Lawyer</c:v>
                  </c:pt>
                  <c:pt idx="135">
                    <c:v>Lawyer</c:v>
                  </c:pt>
                  <c:pt idx="136">
                    <c:v>Accountant</c:v>
                  </c:pt>
                  <c:pt idx="137">
                    <c:v>Lawyer</c:v>
                  </c:pt>
                  <c:pt idx="138">
                    <c:v>Accountant</c:v>
                  </c:pt>
                  <c:pt idx="139">
                    <c:v>Lawyer</c:v>
                  </c:pt>
                  <c:pt idx="140">
                    <c:v>Accountant</c:v>
                  </c:pt>
                  <c:pt idx="141">
                    <c:v>Lawyer</c:v>
                  </c:pt>
                  <c:pt idx="142">
                    <c:v>Accountant</c:v>
                  </c:pt>
                  <c:pt idx="143">
                    <c:v>Accountant</c:v>
                  </c:pt>
                  <c:pt idx="144">
                    <c:v>Lawyer</c:v>
                  </c:pt>
                  <c:pt idx="145">
                    <c:v>Lawyer</c:v>
                  </c:pt>
                  <c:pt idx="146">
                    <c:v>Lawyer</c:v>
                  </c:pt>
                  <c:pt idx="147">
                    <c:v>Engineer</c:v>
                  </c:pt>
                  <c:pt idx="148">
                    <c:v>Lawyer</c:v>
                  </c:pt>
                  <c:pt idx="149">
                    <c:v>Accountant</c:v>
                  </c:pt>
                  <c:pt idx="150">
                    <c:v>Accountant</c:v>
                  </c:pt>
                  <c:pt idx="151">
                    <c:v>Lawyer</c:v>
                  </c:pt>
                  <c:pt idx="152">
                    <c:v>Lawyer</c:v>
                  </c:pt>
                  <c:pt idx="153">
                    <c:v>Lawyer</c:v>
                  </c:pt>
                  <c:pt idx="154">
                    <c:v>Lawyer</c:v>
                  </c:pt>
                  <c:pt idx="155">
                    <c:v>Lawyer</c:v>
                  </c:pt>
                  <c:pt idx="156">
                    <c:v>Lawyer</c:v>
                  </c:pt>
                  <c:pt idx="157">
                    <c:v>Lawyer</c:v>
                  </c:pt>
                  <c:pt idx="158">
                    <c:v>Lawyer</c:v>
                  </c:pt>
                  <c:pt idx="159">
                    <c:v>Lawyer</c:v>
                  </c:pt>
                  <c:pt idx="160">
                    <c:v>Lawyer</c:v>
                  </c:pt>
                  <c:pt idx="161">
                    <c:v>Accountant</c:v>
                  </c:pt>
                  <c:pt idx="162">
                    <c:v>Accountant</c:v>
                  </c:pt>
                  <c:pt idx="163">
                    <c:v>Lawyer</c:v>
                  </c:pt>
                  <c:pt idx="164">
                    <c:v>Lawyer</c:v>
                  </c:pt>
                  <c:pt idx="165">
                    <c:v>Lawyer</c:v>
                  </c:pt>
                  <c:pt idx="166">
                    <c:v>Engineer</c:v>
                  </c:pt>
                  <c:pt idx="167">
                    <c:v>Lawyer</c:v>
                  </c:pt>
                  <c:pt idx="168">
                    <c:v>Lawyer</c:v>
                  </c:pt>
                  <c:pt idx="169">
                    <c:v>Lawyer</c:v>
                  </c:pt>
                  <c:pt idx="170">
                    <c:v>Lawyer</c:v>
                  </c:pt>
                  <c:pt idx="171">
                    <c:v>Lawyer</c:v>
                  </c:pt>
                  <c:pt idx="172">
                    <c:v>Lawyer</c:v>
                  </c:pt>
                  <c:pt idx="173">
                    <c:v>Lawyer</c:v>
                  </c:pt>
                  <c:pt idx="174">
                    <c:v>Lawyer</c:v>
                  </c:pt>
                  <c:pt idx="175">
                    <c:v>Lawyer</c:v>
                  </c:pt>
                  <c:pt idx="176">
                    <c:v>Lawyer</c:v>
                  </c:pt>
                  <c:pt idx="177">
                    <c:v>Salesperson</c:v>
                  </c:pt>
                  <c:pt idx="178">
                    <c:v>Lawyer</c:v>
                  </c:pt>
                  <c:pt idx="179">
                    <c:v>Lawyer</c:v>
                  </c:pt>
                  <c:pt idx="180">
                    <c:v>Lawyer</c:v>
                  </c:pt>
                  <c:pt idx="181">
                    <c:v>Lawyer</c:v>
                  </c:pt>
                  <c:pt idx="182">
                    <c:v>Lawyer</c:v>
                  </c:pt>
                  <c:pt idx="183">
                    <c:v>Lawyer</c:v>
                  </c:pt>
                  <c:pt idx="184">
                    <c:v>Teacher</c:v>
                  </c:pt>
                  <c:pt idx="185">
                    <c:v>Teacher</c:v>
                  </c:pt>
                  <c:pt idx="186">
                    <c:v>Teacher</c:v>
                  </c:pt>
                  <c:pt idx="187">
                    <c:v>Salesperson</c:v>
                  </c:pt>
                  <c:pt idx="188">
                    <c:v>Teacher</c:v>
                  </c:pt>
                  <c:pt idx="189">
                    <c:v>Salesperson</c:v>
                  </c:pt>
                  <c:pt idx="190">
                    <c:v>Teacher</c:v>
                  </c:pt>
                  <c:pt idx="191">
                    <c:v>Salesperson</c:v>
                  </c:pt>
                  <c:pt idx="192">
                    <c:v>Salesperson</c:v>
                  </c:pt>
                  <c:pt idx="193">
                    <c:v>Salesperson</c:v>
                  </c:pt>
                  <c:pt idx="194">
                    <c:v>Salesperson</c:v>
                  </c:pt>
                  <c:pt idx="195">
                    <c:v>Salesperson</c:v>
                  </c:pt>
                  <c:pt idx="196">
                    <c:v>Salesperson</c:v>
                  </c:pt>
                  <c:pt idx="197">
                    <c:v>Salesperson</c:v>
                  </c:pt>
                  <c:pt idx="198">
                    <c:v>Salesperson</c:v>
                  </c:pt>
                  <c:pt idx="199">
                    <c:v>Salesperson</c:v>
                  </c:pt>
                  <c:pt idx="200">
                    <c:v>Salesperson</c:v>
                  </c:pt>
                  <c:pt idx="201">
                    <c:v>Engineer</c:v>
                  </c:pt>
                  <c:pt idx="202">
                    <c:v>Engineer</c:v>
                  </c:pt>
                  <c:pt idx="203">
                    <c:v>Engineer</c:v>
                  </c:pt>
                  <c:pt idx="204">
                    <c:v>Engineer</c:v>
                  </c:pt>
                  <c:pt idx="205">
                    <c:v>Engineer</c:v>
                  </c:pt>
                  <c:pt idx="206">
                    <c:v>Engineer</c:v>
                  </c:pt>
                  <c:pt idx="207">
                    <c:v>Engineer</c:v>
                  </c:pt>
                  <c:pt idx="208">
                    <c:v>Engineer</c:v>
                  </c:pt>
                  <c:pt idx="209">
                    <c:v>Engineer</c:v>
                  </c:pt>
                  <c:pt idx="210">
                    <c:v>Engineer</c:v>
                  </c:pt>
                  <c:pt idx="211">
                    <c:v>Engineer</c:v>
                  </c:pt>
                  <c:pt idx="212">
                    <c:v>Engineer</c:v>
                  </c:pt>
                  <c:pt idx="213">
                    <c:v>Engineer</c:v>
                  </c:pt>
                  <c:pt idx="214">
                    <c:v>Engineer</c:v>
                  </c:pt>
                  <c:pt idx="215">
                    <c:v>Engineer</c:v>
                  </c:pt>
                  <c:pt idx="216">
                    <c:v>Engineer</c:v>
                  </c:pt>
                  <c:pt idx="217">
                    <c:v>Engineer</c:v>
                  </c:pt>
                  <c:pt idx="218">
                    <c:v>Engineer</c:v>
                  </c:pt>
                  <c:pt idx="219">
                    <c:v>Salesperson</c:v>
                  </c:pt>
                  <c:pt idx="220">
                    <c:v>Teacher</c:v>
                  </c:pt>
                  <c:pt idx="221">
                    <c:v>Salesperson</c:v>
                  </c:pt>
                  <c:pt idx="222">
                    <c:v>Salesperson</c:v>
                  </c:pt>
                  <c:pt idx="223">
                    <c:v>Salesperson</c:v>
                  </c:pt>
                  <c:pt idx="224">
                    <c:v>Teacher</c:v>
                  </c:pt>
                  <c:pt idx="225">
                    <c:v>Salesperson</c:v>
                  </c:pt>
                  <c:pt idx="226">
                    <c:v>Teacher</c:v>
                  </c:pt>
                  <c:pt idx="227">
                    <c:v>Salesperson</c:v>
                  </c:pt>
                  <c:pt idx="228">
                    <c:v>Teacher</c:v>
                  </c:pt>
                  <c:pt idx="229">
                    <c:v>Salesperson</c:v>
                  </c:pt>
                  <c:pt idx="230">
                    <c:v>Teacher</c:v>
                  </c:pt>
                  <c:pt idx="231">
                    <c:v>Salesperson</c:v>
                  </c:pt>
                  <c:pt idx="232">
                    <c:v>Teacher</c:v>
                  </c:pt>
                  <c:pt idx="233">
                    <c:v>Salesperson</c:v>
                  </c:pt>
                  <c:pt idx="234">
                    <c:v>Teacher</c:v>
                  </c:pt>
                  <c:pt idx="235">
                    <c:v>Salesperson</c:v>
                  </c:pt>
                  <c:pt idx="236">
                    <c:v>Salesperson</c:v>
                  </c:pt>
                  <c:pt idx="237">
                    <c:v>Teacher</c:v>
                  </c:pt>
                  <c:pt idx="238">
                    <c:v>Salesperson</c:v>
                  </c:pt>
                  <c:pt idx="239">
                    <c:v>Salesperson</c:v>
                  </c:pt>
                  <c:pt idx="240">
                    <c:v>Teacher</c:v>
                  </c:pt>
                  <c:pt idx="241">
                    <c:v>Salesperson</c:v>
                  </c:pt>
                  <c:pt idx="242">
                    <c:v>Salesperson</c:v>
                  </c:pt>
                  <c:pt idx="243">
                    <c:v>Teacher</c:v>
                  </c:pt>
                  <c:pt idx="244">
                    <c:v>Salesperson</c:v>
                  </c:pt>
                  <c:pt idx="245">
                    <c:v>Teacher</c:v>
                  </c:pt>
                  <c:pt idx="246">
                    <c:v>Salesperson</c:v>
                  </c:pt>
                  <c:pt idx="247">
                    <c:v>Engineer</c:v>
                  </c:pt>
                  <c:pt idx="248">
                    <c:v>Salesperson</c:v>
                  </c:pt>
                  <c:pt idx="249">
                    <c:v>Salesperson</c:v>
                  </c:pt>
                  <c:pt idx="250">
                    <c:v>Teacher</c:v>
                  </c:pt>
                  <c:pt idx="251">
                    <c:v>Teacher</c:v>
                  </c:pt>
                  <c:pt idx="252">
                    <c:v>Teacher</c:v>
                  </c:pt>
                  <c:pt idx="253">
                    <c:v>Teacher</c:v>
                  </c:pt>
                  <c:pt idx="254">
                    <c:v>Teacher</c:v>
                  </c:pt>
                  <c:pt idx="255">
                    <c:v>Teacher</c:v>
                  </c:pt>
                  <c:pt idx="256">
                    <c:v>Teacher</c:v>
                  </c:pt>
                  <c:pt idx="257">
                    <c:v>Teacher</c:v>
                  </c:pt>
                  <c:pt idx="258">
                    <c:v>Teacher</c:v>
                  </c:pt>
                  <c:pt idx="259">
                    <c:v>Teacher</c:v>
                  </c:pt>
                  <c:pt idx="260">
                    <c:v>Teacher</c:v>
                  </c:pt>
                  <c:pt idx="261">
                    <c:v>Teacher</c:v>
                  </c:pt>
                  <c:pt idx="262">
                    <c:v>Teacher</c:v>
                  </c:pt>
                  <c:pt idx="263">
                    <c:v>Manager</c:v>
                  </c:pt>
                  <c:pt idx="264">
                    <c:v>Doctor</c:v>
                  </c:pt>
                  <c:pt idx="265">
                    <c:v>Nurse</c:v>
                  </c:pt>
                  <c:pt idx="266">
                    <c:v>Doctor</c:v>
                  </c:pt>
                  <c:pt idx="267">
                    <c:v>Nurse</c:v>
                  </c:pt>
                  <c:pt idx="268">
                    <c:v>Nurse</c:v>
                  </c:pt>
                  <c:pt idx="269">
                    <c:v>Nurse</c:v>
                  </c:pt>
                  <c:pt idx="270">
                    <c:v>Nurse</c:v>
                  </c:pt>
                  <c:pt idx="271">
                    <c:v>Nurse</c:v>
                  </c:pt>
                  <c:pt idx="272">
                    <c:v>Nurse</c:v>
                  </c:pt>
                  <c:pt idx="273">
                    <c:v>Nurse</c:v>
                  </c:pt>
                  <c:pt idx="274">
                    <c:v>Nurse</c:v>
                  </c:pt>
                  <c:pt idx="275">
                    <c:v>Nurse</c:v>
                  </c:pt>
                  <c:pt idx="276">
                    <c:v>Doctor</c:v>
                  </c:pt>
                  <c:pt idx="277">
                    <c:v>Doctor</c:v>
                  </c:pt>
                  <c:pt idx="278">
                    <c:v>Nurse</c:v>
                  </c:pt>
                  <c:pt idx="279">
                    <c:v>Engineer</c:v>
                  </c:pt>
                  <c:pt idx="280">
                    <c:v>Nurse</c:v>
                  </c:pt>
                  <c:pt idx="281">
                    <c:v>Nurse</c:v>
                  </c:pt>
                  <c:pt idx="282">
                    <c:v>Nurse</c:v>
                  </c:pt>
                  <c:pt idx="283">
                    <c:v>Nurse</c:v>
                  </c:pt>
                  <c:pt idx="284">
                    <c:v>Nurse</c:v>
                  </c:pt>
                  <c:pt idx="285">
                    <c:v>Nurse</c:v>
                  </c:pt>
                  <c:pt idx="286">
                    <c:v>Nurse</c:v>
                  </c:pt>
                  <c:pt idx="287">
                    <c:v>Nurse</c:v>
                  </c:pt>
                  <c:pt idx="288">
                    <c:v>Nurse</c:v>
                  </c:pt>
                  <c:pt idx="289">
                    <c:v>Nurse</c:v>
                  </c:pt>
                  <c:pt idx="290">
                    <c:v>Nurse</c:v>
                  </c:pt>
                  <c:pt idx="291">
                    <c:v>Nurse</c:v>
                  </c:pt>
                  <c:pt idx="292">
                    <c:v>Nurse</c:v>
                  </c:pt>
                  <c:pt idx="293">
                    <c:v>Nurse</c:v>
                  </c:pt>
                  <c:pt idx="294">
                    <c:v>Nurse</c:v>
                  </c:pt>
                  <c:pt idx="295">
                    <c:v>Nurse</c:v>
                  </c:pt>
                  <c:pt idx="296">
                    <c:v>Nurse</c:v>
                  </c:pt>
                  <c:pt idx="297">
                    <c:v>Nurse</c:v>
                  </c:pt>
                  <c:pt idx="298">
                    <c:v>Engineer</c:v>
                  </c:pt>
                  <c:pt idx="299">
                    <c:v>Engineer</c:v>
                  </c:pt>
                  <c:pt idx="300">
                    <c:v>Engineer</c:v>
                  </c:pt>
                  <c:pt idx="301">
                    <c:v>Engineer</c:v>
                  </c:pt>
                  <c:pt idx="302">
                    <c:v>Nurse</c:v>
                  </c:pt>
                  <c:pt idx="303">
                    <c:v>Nurse</c:v>
                  </c:pt>
                  <c:pt idx="304">
                    <c:v>Nurse</c:v>
                  </c:pt>
                  <c:pt idx="305">
                    <c:v>Nurse</c:v>
                  </c:pt>
                  <c:pt idx="306">
                    <c:v>Accountant</c:v>
                  </c:pt>
                  <c:pt idx="307">
                    <c:v>Accountant</c:v>
                  </c:pt>
                  <c:pt idx="308">
                    <c:v>Accountant</c:v>
                  </c:pt>
                  <c:pt idx="309">
                    <c:v>Accountant</c:v>
                  </c:pt>
                  <c:pt idx="310">
                    <c:v>Accountant</c:v>
                  </c:pt>
                  <c:pt idx="311">
                    <c:v>Accountant</c:v>
                  </c:pt>
                  <c:pt idx="312">
                    <c:v>Engineer</c:v>
                  </c:pt>
                  <c:pt idx="313">
                    <c:v>Engineer</c:v>
                  </c:pt>
                  <c:pt idx="314">
                    <c:v>Engineer</c:v>
                  </c:pt>
                  <c:pt idx="315">
                    <c:v>Engineer</c:v>
                  </c:pt>
                  <c:pt idx="316">
                    <c:v>Engineer</c:v>
                  </c:pt>
                  <c:pt idx="317">
                    <c:v>Engineer</c:v>
                  </c:pt>
                  <c:pt idx="318">
                    <c:v>Engineer</c:v>
                  </c:pt>
                  <c:pt idx="319">
                    <c:v>Engineer</c:v>
                  </c:pt>
                  <c:pt idx="320">
                    <c:v>Engineer</c:v>
                  </c:pt>
                  <c:pt idx="321">
                    <c:v>Engineer</c:v>
                  </c:pt>
                  <c:pt idx="322">
                    <c:v>Engineer</c:v>
                  </c:pt>
                  <c:pt idx="323">
                    <c:v>Engineer</c:v>
                  </c:pt>
                  <c:pt idx="324">
                    <c:v>Engineer</c:v>
                  </c:pt>
                  <c:pt idx="325">
                    <c:v>Engineer</c:v>
                  </c:pt>
                  <c:pt idx="326">
                    <c:v>Engineer</c:v>
                  </c:pt>
                  <c:pt idx="327">
                    <c:v>Engineer</c:v>
                  </c:pt>
                  <c:pt idx="328">
                    <c:v>Engineer</c:v>
                  </c:pt>
                  <c:pt idx="329">
                    <c:v>Engineer</c:v>
                  </c:pt>
                  <c:pt idx="330">
                    <c:v>Engineer</c:v>
                  </c:pt>
                  <c:pt idx="331">
                    <c:v>Engineer</c:v>
                  </c:pt>
                  <c:pt idx="332">
                    <c:v>Engineer</c:v>
                  </c:pt>
                  <c:pt idx="333">
                    <c:v>Engineer</c:v>
                  </c:pt>
                  <c:pt idx="334">
                    <c:v>Engineer</c:v>
                  </c:pt>
                  <c:pt idx="335">
                    <c:v>Engineer</c:v>
                  </c:pt>
                  <c:pt idx="336">
                    <c:v>Engineer</c:v>
                  </c:pt>
                  <c:pt idx="337">
                    <c:v>Engineer</c:v>
                  </c:pt>
                  <c:pt idx="338">
                    <c:v>Engineer</c:v>
                  </c:pt>
                  <c:pt idx="339">
                    <c:v>Nurse</c:v>
                  </c:pt>
                  <c:pt idx="340">
                    <c:v>Nurse</c:v>
                  </c:pt>
                  <c:pt idx="341">
                    <c:v>Doctor</c:v>
                  </c:pt>
                  <c:pt idx="342">
                    <c:v>Doctor</c:v>
                  </c:pt>
                  <c:pt idx="343">
                    <c:v>Nurse</c:v>
                  </c:pt>
                  <c:pt idx="344">
                    <c:v>Nurse</c:v>
                  </c:pt>
                  <c:pt idx="345">
                    <c:v>Nurse</c:v>
                  </c:pt>
                  <c:pt idx="346">
                    <c:v>Nurse</c:v>
                  </c:pt>
                  <c:pt idx="347">
                    <c:v>Nurse</c:v>
                  </c:pt>
                  <c:pt idx="348">
                    <c:v>Nurse</c:v>
                  </c:pt>
                  <c:pt idx="349">
                    <c:v>Nurse</c:v>
                  </c:pt>
                  <c:pt idx="350">
                    <c:v>Nurse</c:v>
                  </c:pt>
                  <c:pt idx="351">
                    <c:v>Nurse</c:v>
                  </c:pt>
                  <c:pt idx="352">
                    <c:v>Nurse</c:v>
                  </c:pt>
                  <c:pt idx="353">
                    <c:v>Nurse</c:v>
                  </c:pt>
                  <c:pt idx="354">
                    <c:v>Nurse</c:v>
                  </c:pt>
                  <c:pt idx="355">
                    <c:v>Nurse</c:v>
                  </c:pt>
                  <c:pt idx="356">
                    <c:v>Nurse</c:v>
                  </c:pt>
                  <c:pt idx="357">
                    <c:v>Nurse</c:v>
                  </c:pt>
                  <c:pt idx="358">
                    <c:v>Nurse</c:v>
                  </c:pt>
                  <c:pt idx="359">
                    <c:v>Nurse</c:v>
                  </c:pt>
                  <c:pt idx="360">
                    <c:v>Nurse</c:v>
                  </c:pt>
                  <c:pt idx="361">
                    <c:v>Nurse</c:v>
                  </c:pt>
                  <c:pt idx="362">
                    <c:v>Nurse</c:v>
                  </c:pt>
                  <c:pt idx="363">
                    <c:v>Nurse</c:v>
                  </c:pt>
                  <c:pt idx="364">
                    <c:v>Nurse</c:v>
                  </c:pt>
                  <c:pt idx="365">
                    <c:v>Nurse</c:v>
                  </c:pt>
                  <c:pt idx="366">
                    <c:v>Nurse</c:v>
                  </c:pt>
                  <c:pt idx="367">
                    <c:v>Nurse</c:v>
                  </c:pt>
                  <c:pt idx="368">
                    <c:v>Nurse</c:v>
                  </c:pt>
                  <c:pt idx="369">
                    <c:v>Nurse</c:v>
                  </c:pt>
                  <c:pt idx="370">
                    <c:v>Nurse</c:v>
                  </c:pt>
                  <c:pt idx="371">
                    <c:v>Nurse</c:v>
                  </c:pt>
                  <c:pt idx="372">
                    <c:v>Nurse</c:v>
                  </c:pt>
                  <c:pt idx="373">
                    <c:v>Nurse</c:v>
                  </c:pt>
                </c:lvl>
                <c:lvl>
                  <c:pt idx="0">
                    <c:v>young</c:v>
                  </c:pt>
                  <c:pt idx="1">
                    <c:v>young</c:v>
                  </c:pt>
                  <c:pt idx="2">
                    <c:v>young</c:v>
                  </c:pt>
                  <c:pt idx="3">
                    <c:v>young</c:v>
                  </c:pt>
                  <c:pt idx="4">
                    <c:v>young</c:v>
                  </c:pt>
                  <c:pt idx="5">
                    <c:v>young</c:v>
                  </c:pt>
                  <c:pt idx="6">
                    <c:v>young</c:v>
                  </c:pt>
                  <c:pt idx="7">
                    <c:v>young</c:v>
                  </c:pt>
                  <c:pt idx="8">
                    <c:v>young</c:v>
                  </c:pt>
                  <c:pt idx="9">
                    <c:v>young</c:v>
                  </c:pt>
                  <c:pt idx="10">
                    <c:v>young</c:v>
                  </c:pt>
                  <c:pt idx="11">
                    <c:v>young</c:v>
                  </c:pt>
                  <c:pt idx="12">
                    <c:v>young</c:v>
                  </c:pt>
                  <c:pt idx="13">
                    <c:v>young</c:v>
                  </c:pt>
                  <c:pt idx="14">
                    <c:v>young</c:v>
                  </c:pt>
                  <c:pt idx="15">
                    <c:v>young</c:v>
                  </c:pt>
                  <c:pt idx="16">
                    <c:v>young</c:v>
                  </c:pt>
                  <c:pt idx="17">
                    <c:v>young</c:v>
                  </c:pt>
                  <c:pt idx="18">
                    <c:v>young</c:v>
                  </c:pt>
                  <c:pt idx="19">
                    <c:v>young</c:v>
                  </c:pt>
                  <c:pt idx="20">
                    <c:v>young</c:v>
                  </c:pt>
                  <c:pt idx="21">
                    <c:v>young</c:v>
                  </c:pt>
                  <c:pt idx="22">
                    <c:v>young</c:v>
                  </c:pt>
                  <c:pt idx="23">
                    <c:v>young</c:v>
                  </c:pt>
                  <c:pt idx="24">
                    <c:v>young</c:v>
                  </c:pt>
                  <c:pt idx="25">
                    <c:v>young</c:v>
                  </c:pt>
                  <c:pt idx="26">
                    <c:v>young</c:v>
                  </c:pt>
                  <c:pt idx="27">
                    <c:v>young</c:v>
                  </c:pt>
                  <c:pt idx="28">
                    <c:v>young</c:v>
                  </c:pt>
                  <c:pt idx="29">
                    <c:v>young</c:v>
                  </c:pt>
                  <c:pt idx="30">
                    <c:v>young</c:v>
                  </c:pt>
                  <c:pt idx="31">
                    <c:v>young</c:v>
                  </c:pt>
                  <c:pt idx="32">
                    <c:v>young</c:v>
                  </c:pt>
                  <c:pt idx="33">
                    <c:v>young</c:v>
                  </c:pt>
                  <c:pt idx="34">
                    <c:v>young</c:v>
                  </c:pt>
                  <c:pt idx="35">
                    <c:v>young</c:v>
                  </c:pt>
                  <c:pt idx="36">
                    <c:v>young</c:v>
                  </c:pt>
                  <c:pt idx="37">
                    <c:v>young</c:v>
                  </c:pt>
                  <c:pt idx="38">
                    <c:v>young</c:v>
                  </c:pt>
                  <c:pt idx="39">
                    <c:v>young</c:v>
                  </c:pt>
                  <c:pt idx="40">
                    <c:v>young</c:v>
                  </c:pt>
                  <c:pt idx="41">
                    <c:v>young</c:v>
                  </c:pt>
                  <c:pt idx="42">
                    <c:v>young</c:v>
                  </c:pt>
                  <c:pt idx="43">
                    <c:v>young</c:v>
                  </c:pt>
                  <c:pt idx="44">
                    <c:v>young</c:v>
                  </c:pt>
                  <c:pt idx="45">
                    <c:v>young</c:v>
                  </c:pt>
                  <c:pt idx="46">
                    <c:v>young</c:v>
                  </c:pt>
                  <c:pt idx="47">
                    <c:v>young</c:v>
                  </c:pt>
                  <c:pt idx="48">
                    <c:v>young</c:v>
                  </c:pt>
                  <c:pt idx="49">
                    <c:v>young</c:v>
                  </c:pt>
                  <c:pt idx="50">
                    <c:v>young</c:v>
                  </c:pt>
                  <c:pt idx="51">
                    <c:v>young</c:v>
                  </c:pt>
                  <c:pt idx="52">
                    <c:v>young</c:v>
                  </c:pt>
                  <c:pt idx="53">
                    <c:v>young</c:v>
                  </c:pt>
                  <c:pt idx="54">
                    <c:v>young</c:v>
                  </c:pt>
                  <c:pt idx="55">
                    <c:v>young</c:v>
                  </c:pt>
                  <c:pt idx="56">
                    <c:v>young</c:v>
                  </c:pt>
                  <c:pt idx="57">
                    <c:v>young</c:v>
                  </c:pt>
                  <c:pt idx="58">
                    <c:v>young</c:v>
                  </c:pt>
                  <c:pt idx="59">
                    <c:v>young</c:v>
                  </c:pt>
                  <c:pt idx="60">
                    <c:v>young</c:v>
                  </c:pt>
                  <c:pt idx="61">
                    <c:v>young</c:v>
                  </c:pt>
                  <c:pt idx="62">
                    <c:v>young</c:v>
                  </c:pt>
                  <c:pt idx="63">
                    <c:v>young</c:v>
                  </c:pt>
                  <c:pt idx="64">
                    <c:v>young</c:v>
                  </c:pt>
                  <c:pt idx="65">
                    <c:v>young</c:v>
                  </c:pt>
                  <c:pt idx="66">
                    <c:v>young</c:v>
                  </c:pt>
                  <c:pt idx="67">
                    <c:v>young</c:v>
                  </c:pt>
                  <c:pt idx="68">
                    <c:v>young</c:v>
                  </c:pt>
                  <c:pt idx="69">
                    <c:v>young</c:v>
                  </c:pt>
                  <c:pt idx="70">
                    <c:v>young</c:v>
                  </c:pt>
                  <c:pt idx="71">
                    <c:v>young</c:v>
                  </c:pt>
                  <c:pt idx="72">
                    <c:v>young</c:v>
                  </c:pt>
                  <c:pt idx="73">
                    <c:v>young</c:v>
                  </c:pt>
                  <c:pt idx="74">
                    <c:v>young</c:v>
                  </c:pt>
                  <c:pt idx="75">
                    <c:v>young</c:v>
                  </c:pt>
                  <c:pt idx="76">
                    <c:v>young</c:v>
                  </c:pt>
                  <c:pt idx="77">
                    <c:v>young</c:v>
                  </c:pt>
                  <c:pt idx="78">
                    <c:v>young</c:v>
                  </c:pt>
                  <c:pt idx="79">
                    <c:v>young</c:v>
                  </c:pt>
                  <c:pt idx="80">
                    <c:v>young</c:v>
                  </c:pt>
                  <c:pt idx="81">
                    <c:v>young</c:v>
                  </c:pt>
                  <c:pt idx="82">
                    <c:v>middle age</c:v>
                  </c:pt>
                  <c:pt idx="83">
                    <c:v>middle age</c:v>
                  </c:pt>
                  <c:pt idx="84">
                    <c:v>middle age</c:v>
                  </c:pt>
                  <c:pt idx="85">
                    <c:v>middle age</c:v>
                  </c:pt>
                  <c:pt idx="86">
                    <c:v>middle age</c:v>
                  </c:pt>
                  <c:pt idx="87">
                    <c:v>middle age</c:v>
                  </c:pt>
                  <c:pt idx="88">
                    <c:v>middle age</c:v>
                  </c:pt>
                  <c:pt idx="89">
                    <c:v>middle age</c:v>
                  </c:pt>
                  <c:pt idx="90">
                    <c:v>middle age</c:v>
                  </c:pt>
                  <c:pt idx="91">
                    <c:v>middle age</c:v>
                  </c:pt>
                  <c:pt idx="92">
                    <c:v>middle age</c:v>
                  </c:pt>
                  <c:pt idx="93">
                    <c:v>middle age</c:v>
                  </c:pt>
                  <c:pt idx="94">
                    <c:v>middle age</c:v>
                  </c:pt>
                  <c:pt idx="95">
                    <c:v>middle age</c:v>
                  </c:pt>
                  <c:pt idx="96">
                    <c:v>middle age</c:v>
                  </c:pt>
                  <c:pt idx="97">
                    <c:v>middle age</c:v>
                  </c:pt>
                  <c:pt idx="98">
                    <c:v>middle age</c:v>
                  </c:pt>
                  <c:pt idx="99">
                    <c:v>middle age</c:v>
                  </c:pt>
                  <c:pt idx="100">
                    <c:v>middle age</c:v>
                  </c:pt>
                  <c:pt idx="101">
                    <c:v>middle age</c:v>
                  </c:pt>
                  <c:pt idx="102">
                    <c:v>middle age</c:v>
                  </c:pt>
                  <c:pt idx="103">
                    <c:v>middle age</c:v>
                  </c:pt>
                  <c:pt idx="104">
                    <c:v>middle age</c:v>
                  </c:pt>
                  <c:pt idx="105">
                    <c:v>middle age</c:v>
                  </c:pt>
                  <c:pt idx="106">
                    <c:v>middle age</c:v>
                  </c:pt>
                  <c:pt idx="107">
                    <c:v>middle age</c:v>
                  </c:pt>
                  <c:pt idx="108">
                    <c:v>middle age</c:v>
                  </c:pt>
                  <c:pt idx="109">
                    <c:v>middle age</c:v>
                  </c:pt>
                  <c:pt idx="110">
                    <c:v>middle age</c:v>
                  </c:pt>
                  <c:pt idx="111">
                    <c:v>middle age</c:v>
                  </c:pt>
                  <c:pt idx="112">
                    <c:v>middle age</c:v>
                  </c:pt>
                  <c:pt idx="113">
                    <c:v>middle age</c:v>
                  </c:pt>
                  <c:pt idx="114">
                    <c:v>middle age</c:v>
                  </c:pt>
                  <c:pt idx="115">
                    <c:v>middle age</c:v>
                  </c:pt>
                  <c:pt idx="116">
                    <c:v>middle age</c:v>
                  </c:pt>
                  <c:pt idx="117">
                    <c:v>middle age</c:v>
                  </c:pt>
                  <c:pt idx="118">
                    <c:v>middle age</c:v>
                  </c:pt>
                  <c:pt idx="119">
                    <c:v>middle age</c:v>
                  </c:pt>
                  <c:pt idx="120">
                    <c:v>middle age</c:v>
                  </c:pt>
                  <c:pt idx="121">
                    <c:v>middle age</c:v>
                  </c:pt>
                  <c:pt idx="122">
                    <c:v>middle age</c:v>
                  </c:pt>
                  <c:pt idx="123">
                    <c:v>middle age</c:v>
                  </c:pt>
                  <c:pt idx="124">
                    <c:v>middle age</c:v>
                  </c:pt>
                  <c:pt idx="125">
                    <c:v>middle age</c:v>
                  </c:pt>
                  <c:pt idx="126">
                    <c:v>middle age</c:v>
                  </c:pt>
                  <c:pt idx="127">
                    <c:v>middle age</c:v>
                  </c:pt>
                  <c:pt idx="128">
                    <c:v>middle age</c:v>
                  </c:pt>
                  <c:pt idx="129">
                    <c:v>middle age</c:v>
                  </c:pt>
                  <c:pt idx="130">
                    <c:v>middle age</c:v>
                  </c:pt>
                  <c:pt idx="131">
                    <c:v>middle age</c:v>
                  </c:pt>
                  <c:pt idx="132">
                    <c:v>middle age</c:v>
                  </c:pt>
                  <c:pt idx="133">
                    <c:v>middle age</c:v>
                  </c:pt>
                  <c:pt idx="134">
                    <c:v>middle age</c:v>
                  </c:pt>
                  <c:pt idx="135">
                    <c:v>middle age</c:v>
                  </c:pt>
                  <c:pt idx="136">
                    <c:v>middle age</c:v>
                  </c:pt>
                  <c:pt idx="137">
                    <c:v>middle age</c:v>
                  </c:pt>
                  <c:pt idx="138">
                    <c:v>middle age</c:v>
                  </c:pt>
                  <c:pt idx="139">
                    <c:v>middle age</c:v>
                  </c:pt>
                  <c:pt idx="140">
                    <c:v>middle age</c:v>
                  </c:pt>
                  <c:pt idx="141">
                    <c:v>middle age</c:v>
                  </c:pt>
                  <c:pt idx="142">
                    <c:v>middle age</c:v>
                  </c:pt>
                  <c:pt idx="143">
                    <c:v>middle age</c:v>
                  </c:pt>
                  <c:pt idx="144">
                    <c:v>middle age</c:v>
                  </c:pt>
                  <c:pt idx="145">
                    <c:v>middle age</c:v>
                  </c:pt>
                  <c:pt idx="146">
                    <c:v>middle age</c:v>
                  </c:pt>
                  <c:pt idx="147">
                    <c:v>middle age</c:v>
                  </c:pt>
                  <c:pt idx="148">
                    <c:v>middle age</c:v>
                  </c:pt>
                  <c:pt idx="149">
                    <c:v>middle age</c:v>
                  </c:pt>
                  <c:pt idx="150">
                    <c:v>middle age</c:v>
                  </c:pt>
                  <c:pt idx="151">
                    <c:v>middle age</c:v>
                  </c:pt>
                  <c:pt idx="152">
                    <c:v>middle age</c:v>
                  </c:pt>
                  <c:pt idx="153">
                    <c:v>middle age</c:v>
                  </c:pt>
                  <c:pt idx="154">
                    <c:v>middle age</c:v>
                  </c:pt>
                  <c:pt idx="155">
                    <c:v>middle age</c:v>
                  </c:pt>
                  <c:pt idx="156">
                    <c:v>middle age</c:v>
                  </c:pt>
                  <c:pt idx="157">
                    <c:v>middle age</c:v>
                  </c:pt>
                  <c:pt idx="158">
                    <c:v>middle age</c:v>
                  </c:pt>
                  <c:pt idx="159">
                    <c:v>middle age</c:v>
                  </c:pt>
                  <c:pt idx="160">
                    <c:v>middle age</c:v>
                  </c:pt>
                  <c:pt idx="161">
                    <c:v>middle age</c:v>
                  </c:pt>
                  <c:pt idx="162">
                    <c:v>middle age</c:v>
                  </c:pt>
                  <c:pt idx="163">
                    <c:v>middle age</c:v>
                  </c:pt>
                  <c:pt idx="164">
                    <c:v>middle age</c:v>
                  </c:pt>
                  <c:pt idx="165">
                    <c:v>middle age</c:v>
                  </c:pt>
                  <c:pt idx="166">
                    <c:v>middle age</c:v>
                  </c:pt>
                  <c:pt idx="167">
                    <c:v>middle age</c:v>
                  </c:pt>
                  <c:pt idx="168">
                    <c:v>middle age</c:v>
                  </c:pt>
                  <c:pt idx="169">
                    <c:v>middle age</c:v>
                  </c:pt>
                  <c:pt idx="170">
                    <c:v>middle age</c:v>
                  </c:pt>
                  <c:pt idx="171">
                    <c:v>middle age</c:v>
                  </c:pt>
                  <c:pt idx="172">
                    <c:v>middle age</c:v>
                  </c:pt>
                  <c:pt idx="173">
                    <c:v>middle age</c:v>
                  </c:pt>
                  <c:pt idx="174">
                    <c:v>middle age</c:v>
                  </c:pt>
                  <c:pt idx="175">
                    <c:v>middle age</c:v>
                  </c:pt>
                  <c:pt idx="176">
                    <c:v>middle age</c:v>
                  </c:pt>
                  <c:pt idx="177">
                    <c:v>middle age</c:v>
                  </c:pt>
                  <c:pt idx="178">
                    <c:v>middle age</c:v>
                  </c:pt>
                  <c:pt idx="179">
                    <c:v>middle age</c:v>
                  </c:pt>
                  <c:pt idx="180">
                    <c:v>middle age</c:v>
                  </c:pt>
                  <c:pt idx="181">
                    <c:v>middle age</c:v>
                  </c:pt>
                  <c:pt idx="182">
                    <c:v>middle age</c:v>
                  </c:pt>
                  <c:pt idx="183">
                    <c:v>middle age</c:v>
                  </c:pt>
                  <c:pt idx="184">
                    <c:v>middle age</c:v>
                  </c:pt>
                  <c:pt idx="185">
                    <c:v>middle age</c:v>
                  </c:pt>
                  <c:pt idx="186">
                    <c:v>middle age</c:v>
                  </c:pt>
                  <c:pt idx="187">
                    <c:v>middle age</c:v>
                  </c:pt>
                  <c:pt idx="188">
                    <c:v>middle age</c:v>
                  </c:pt>
                  <c:pt idx="189">
                    <c:v>middle age</c:v>
                  </c:pt>
                  <c:pt idx="190">
                    <c:v>middle age</c:v>
                  </c:pt>
                  <c:pt idx="191">
                    <c:v>middle age</c:v>
                  </c:pt>
                  <c:pt idx="192">
                    <c:v>middle age</c:v>
                  </c:pt>
                  <c:pt idx="193">
                    <c:v>middle age</c:v>
                  </c:pt>
                  <c:pt idx="194">
                    <c:v>middle age</c:v>
                  </c:pt>
                  <c:pt idx="195">
                    <c:v>middle age</c:v>
                  </c:pt>
                  <c:pt idx="196">
                    <c:v>middle age</c:v>
                  </c:pt>
                  <c:pt idx="197">
                    <c:v>middle age</c:v>
                  </c:pt>
                  <c:pt idx="198">
                    <c:v>middle age</c:v>
                  </c:pt>
                  <c:pt idx="199">
                    <c:v>middle age</c:v>
                  </c:pt>
                  <c:pt idx="200">
                    <c:v>middle age</c:v>
                  </c:pt>
                  <c:pt idx="201">
                    <c:v>middle age</c:v>
                  </c:pt>
                  <c:pt idx="202">
                    <c:v>middle age</c:v>
                  </c:pt>
                  <c:pt idx="203">
                    <c:v>middle age</c:v>
                  </c:pt>
                  <c:pt idx="204">
                    <c:v>middle age</c:v>
                  </c:pt>
                  <c:pt idx="205">
                    <c:v>middle age</c:v>
                  </c:pt>
                  <c:pt idx="206">
                    <c:v>middle age</c:v>
                  </c:pt>
                  <c:pt idx="207">
                    <c:v>middle age</c:v>
                  </c:pt>
                  <c:pt idx="208">
                    <c:v>middle age</c:v>
                  </c:pt>
                  <c:pt idx="209">
                    <c:v>middle age</c:v>
                  </c:pt>
                  <c:pt idx="210">
                    <c:v>middle age</c:v>
                  </c:pt>
                  <c:pt idx="211">
                    <c:v>middle age</c:v>
                  </c:pt>
                  <c:pt idx="212">
                    <c:v>middle age</c:v>
                  </c:pt>
                  <c:pt idx="213">
                    <c:v>middle age</c:v>
                  </c:pt>
                  <c:pt idx="214">
                    <c:v>middle age</c:v>
                  </c:pt>
                  <c:pt idx="215">
                    <c:v>middle age</c:v>
                  </c:pt>
                  <c:pt idx="216">
                    <c:v>middle age</c:v>
                  </c:pt>
                  <c:pt idx="217">
                    <c:v>middle age</c:v>
                  </c:pt>
                  <c:pt idx="218">
                    <c:v>middle age</c:v>
                  </c:pt>
                  <c:pt idx="219">
                    <c:v>middle age</c:v>
                  </c:pt>
                  <c:pt idx="220">
                    <c:v>middle age</c:v>
                  </c:pt>
                  <c:pt idx="221">
                    <c:v>middle age</c:v>
                  </c:pt>
                  <c:pt idx="222">
                    <c:v>middle age</c:v>
                  </c:pt>
                  <c:pt idx="223">
                    <c:v>middle age</c:v>
                  </c:pt>
                  <c:pt idx="224">
                    <c:v>middle age</c:v>
                  </c:pt>
                  <c:pt idx="225">
                    <c:v>middle age</c:v>
                  </c:pt>
                  <c:pt idx="226">
                    <c:v>middle age</c:v>
                  </c:pt>
                  <c:pt idx="227">
                    <c:v>middle age</c:v>
                  </c:pt>
                  <c:pt idx="228">
                    <c:v>middle age</c:v>
                  </c:pt>
                  <c:pt idx="229">
                    <c:v>middle age</c:v>
                  </c:pt>
                  <c:pt idx="230">
                    <c:v>middle age</c:v>
                  </c:pt>
                  <c:pt idx="231">
                    <c:v>middle age</c:v>
                  </c:pt>
                  <c:pt idx="232">
                    <c:v>middle age</c:v>
                  </c:pt>
                  <c:pt idx="233">
                    <c:v>middle age</c:v>
                  </c:pt>
                  <c:pt idx="234">
                    <c:v>middle age</c:v>
                  </c:pt>
                  <c:pt idx="235">
                    <c:v>middle age</c:v>
                  </c:pt>
                  <c:pt idx="236">
                    <c:v>middle age</c:v>
                  </c:pt>
                  <c:pt idx="237">
                    <c:v>middle age</c:v>
                  </c:pt>
                  <c:pt idx="238">
                    <c:v>middle age</c:v>
                  </c:pt>
                  <c:pt idx="239">
                    <c:v>middle age</c:v>
                  </c:pt>
                  <c:pt idx="240">
                    <c:v>middle age</c:v>
                  </c:pt>
                  <c:pt idx="241">
                    <c:v>middle age</c:v>
                  </c:pt>
                  <c:pt idx="242">
                    <c:v>middle age</c:v>
                  </c:pt>
                  <c:pt idx="243">
                    <c:v>middle age</c:v>
                  </c:pt>
                  <c:pt idx="244">
                    <c:v>middle age</c:v>
                  </c:pt>
                  <c:pt idx="245">
                    <c:v>middle age</c:v>
                  </c:pt>
                  <c:pt idx="246">
                    <c:v>middle age</c:v>
                  </c:pt>
                  <c:pt idx="247">
                    <c:v>middle age</c:v>
                  </c:pt>
                  <c:pt idx="248">
                    <c:v>middle age</c:v>
                  </c:pt>
                  <c:pt idx="249">
                    <c:v>middle age</c:v>
                  </c:pt>
                  <c:pt idx="250">
                    <c:v>middle age</c:v>
                  </c:pt>
                  <c:pt idx="251">
                    <c:v>middle age</c:v>
                  </c:pt>
                  <c:pt idx="252">
                    <c:v>middle age</c:v>
                  </c:pt>
                  <c:pt idx="253">
                    <c:v>middle age</c:v>
                  </c:pt>
                  <c:pt idx="254">
                    <c:v>middle age</c:v>
                  </c:pt>
                  <c:pt idx="255">
                    <c:v>middle age</c:v>
                  </c:pt>
                  <c:pt idx="256">
                    <c:v>middle age</c:v>
                  </c:pt>
                  <c:pt idx="257">
                    <c:v>middle age</c:v>
                  </c:pt>
                  <c:pt idx="258">
                    <c:v>middle age</c:v>
                  </c:pt>
                  <c:pt idx="259">
                    <c:v>middle age</c:v>
                  </c:pt>
                  <c:pt idx="260">
                    <c:v>middle age</c:v>
                  </c:pt>
                  <c:pt idx="261">
                    <c:v>middle age</c:v>
                  </c:pt>
                  <c:pt idx="262">
                    <c:v>middle age</c:v>
                  </c:pt>
                  <c:pt idx="263">
                    <c:v>middle age</c:v>
                  </c:pt>
                  <c:pt idx="264">
                    <c:v>middle age</c:v>
                  </c:pt>
                  <c:pt idx="265">
                    <c:v>middle age</c:v>
                  </c:pt>
                  <c:pt idx="266">
                    <c:v>middle age</c:v>
                  </c:pt>
                  <c:pt idx="267">
                    <c:v>middle age</c:v>
                  </c:pt>
                  <c:pt idx="268">
                    <c:v>middle age</c:v>
                  </c:pt>
                  <c:pt idx="269">
                    <c:v>middle age</c:v>
                  </c:pt>
                  <c:pt idx="270">
                    <c:v>middle age</c:v>
                  </c:pt>
                  <c:pt idx="271">
                    <c:v>middle age</c:v>
                  </c:pt>
                  <c:pt idx="272">
                    <c:v>middle age</c:v>
                  </c:pt>
                  <c:pt idx="273">
                    <c:v>middle age</c:v>
                  </c:pt>
                  <c:pt idx="274">
                    <c:v>middle age</c:v>
                  </c:pt>
                  <c:pt idx="275">
                    <c:v>middle age</c:v>
                  </c:pt>
                  <c:pt idx="276">
                    <c:v>middle age</c:v>
                  </c:pt>
                  <c:pt idx="277">
                    <c:v>middle age</c:v>
                  </c:pt>
                  <c:pt idx="278">
                    <c:v>old</c:v>
                  </c:pt>
                  <c:pt idx="279">
                    <c:v>old</c:v>
                  </c:pt>
                  <c:pt idx="280">
                    <c:v>old</c:v>
                  </c:pt>
                  <c:pt idx="281">
                    <c:v>old</c:v>
                  </c:pt>
                  <c:pt idx="282">
                    <c:v>old</c:v>
                  </c:pt>
                  <c:pt idx="283">
                    <c:v>old</c:v>
                  </c:pt>
                  <c:pt idx="284">
                    <c:v>old</c:v>
                  </c:pt>
                  <c:pt idx="285">
                    <c:v>old</c:v>
                  </c:pt>
                  <c:pt idx="286">
                    <c:v>old</c:v>
                  </c:pt>
                  <c:pt idx="287">
                    <c:v>old</c:v>
                  </c:pt>
                  <c:pt idx="288">
                    <c:v>old</c:v>
                  </c:pt>
                  <c:pt idx="289">
                    <c:v>old</c:v>
                  </c:pt>
                  <c:pt idx="290">
                    <c:v>old</c:v>
                  </c:pt>
                  <c:pt idx="291">
                    <c:v>old</c:v>
                  </c:pt>
                  <c:pt idx="292">
                    <c:v>old</c:v>
                  </c:pt>
                  <c:pt idx="293">
                    <c:v>old</c:v>
                  </c:pt>
                  <c:pt idx="294">
                    <c:v>old</c:v>
                  </c:pt>
                  <c:pt idx="295">
                    <c:v>old</c:v>
                  </c:pt>
                  <c:pt idx="296">
                    <c:v>old</c:v>
                  </c:pt>
                  <c:pt idx="297">
                    <c:v>old</c:v>
                  </c:pt>
                  <c:pt idx="298">
                    <c:v>old</c:v>
                  </c:pt>
                  <c:pt idx="299">
                    <c:v>old</c:v>
                  </c:pt>
                  <c:pt idx="300">
                    <c:v>old</c:v>
                  </c:pt>
                  <c:pt idx="301">
                    <c:v>old</c:v>
                  </c:pt>
                  <c:pt idx="302">
                    <c:v>old</c:v>
                  </c:pt>
                  <c:pt idx="303">
                    <c:v>old</c:v>
                  </c:pt>
                  <c:pt idx="304">
                    <c:v>old</c:v>
                  </c:pt>
                  <c:pt idx="305">
                    <c:v>old</c:v>
                  </c:pt>
                  <c:pt idx="306">
                    <c:v>old</c:v>
                  </c:pt>
                  <c:pt idx="307">
                    <c:v>old</c:v>
                  </c:pt>
                  <c:pt idx="308">
                    <c:v>old</c:v>
                  </c:pt>
                  <c:pt idx="309">
                    <c:v>old</c:v>
                  </c:pt>
                  <c:pt idx="310">
                    <c:v>old</c:v>
                  </c:pt>
                  <c:pt idx="311">
                    <c:v>old</c:v>
                  </c:pt>
                  <c:pt idx="312">
                    <c:v>old</c:v>
                  </c:pt>
                  <c:pt idx="313">
                    <c:v>old</c:v>
                  </c:pt>
                  <c:pt idx="314">
                    <c:v>old</c:v>
                  </c:pt>
                  <c:pt idx="315">
                    <c:v>old</c:v>
                  </c:pt>
                  <c:pt idx="316">
                    <c:v>old</c:v>
                  </c:pt>
                  <c:pt idx="317">
                    <c:v>old</c:v>
                  </c:pt>
                  <c:pt idx="318">
                    <c:v>old</c:v>
                  </c:pt>
                  <c:pt idx="319">
                    <c:v>old</c:v>
                  </c:pt>
                  <c:pt idx="320">
                    <c:v>old</c:v>
                  </c:pt>
                  <c:pt idx="321">
                    <c:v>old</c:v>
                  </c:pt>
                  <c:pt idx="322">
                    <c:v>old</c:v>
                  </c:pt>
                  <c:pt idx="323">
                    <c:v>old</c:v>
                  </c:pt>
                  <c:pt idx="324">
                    <c:v>old</c:v>
                  </c:pt>
                  <c:pt idx="325">
                    <c:v>old</c:v>
                  </c:pt>
                  <c:pt idx="326">
                    <c:v>old</c:v>
                  </c:pt>
                  <c:pt idx="327">
                    <c:v>old</c:v>
                  </c:pt>
                  <c:pt idx="328">
                    <c:v>old</c:v>
                  </c:pt>
                  <c:pt idx="329">
                    <c:v>old</c:v>
                  </c:pt>
                  <c:pt idx="330">
                    <c:v>old</c:v>
                  </c:pt>
                  <c:pt idx="331">
                    <c:v>old</c:v>
                  </c:pt>
                  <c:pt idx="332">
                    <c:v>old</c:v>
                  </c:pt>
                  <c:pt idx="333">
                    <c:v>old</c:v>
                  </c:pt>
                  <c:pt idx="334">
                    <c:v>old</c:v>
                  </c:pt>
                  <c:pt idx="335">
                    <c:v>old</c:v>
                  </c:pt>
                  <c:pt idx="336">
                    <c:v>old</c:v>
                  </c:pt>
                  <c:pt idx="337">
                    <c:v>old</c:v>
                  </c:pt>
                  <c:pt idx="338">
                    <c:v>old</c:v>
                  </c:pt>
                  <c:pt idx="339">
                    <c:v>old</c:v>
                  </c:pt>
                  <c:pt idx="340">
                    <c:v>old</c:v>
                  </c:pt>
                  <c:pt idx="341">
                    <c:v>old</c:v>
                  </c:pt>
                  <c:pt idx="342">
                    <c:v>old</c:v>
                  </c:pt>
                  <c:pt idx="343">
                    <c:v>old</c:v>
                  </c:pt>
                  <c:pt idx="344">
                    <c:v>old</c:v>
                  </c:pt>
                  <c:pt idx="345">
                    <c:v>old</c:v>
                  </c:pt>
                  <c:pt idx="346">
                    <c:v>old</c:v>
                  </c:pt>
                  <c:pt idx="347">
                    <c:v>old</c:v>
                  </c:pt>
                  <c:pt idx="348">
                    <c:v>old</c:v>
                  </c:pt>
                  <c:pt idx="349">
                    <c:v>old</c:v>
                  </c:pt>
                  <c:pt idx="350">
                    <c:v>old</c:v>
                  </c:pt>
                  <c:pt idx="351">
                    <c:v>old</c:v>
                  </c:pt>
                  <c:pt idx="352">
                    <c:v>old</c:v>
                  </c:pt>
                  <c:pt idx="353">
                    <c:v>old</c:v>
                  </c:pt>
                  <c:pt idx="354">
                    <c:v>old</c:v>
                  </c:pt>
                  <c:pt idx="355">
                    <c:v>old</c:v>
                  </c:pt>
                  <c:pt idx="356">
                    <c:v>old</c:v>
                  </c:pt>
                  <c:pt idx="357">
                    <c:v>old</c:v>
                  </c:pt>
                  <c:pt idx="358">
                    <c:v>old</c:v>
                  </c:pt>
                  <c:pt idx="359">
                    <c:v>old</c:v>
                  </c:pt>
                  <c:pt idx="360">
                    <c:v>old</c:v>
                  </c:pt>
                  <c:pt idx="361">
                    <c:v>old</c:v>
                  </c:pt>
                  <c:pt idx="362">
                    <c:v>old</c:v>
                  </c:pt>
                  <c:pt idx="363">
                    <c:v>old</c:v>
                  </c:pt>
                  <c:pt idx="364">
                    <c:v>old</c:v>
                  </c:pt>
                  <c:pt idx="365">
                    <c:v>old</c:v>
                  </c:pt>
                  <c:pt idx="366">
                    <c:v>old</c:v>
                  </c:pt>
                  <c:pt idx="367">
                    <c:v>old</c:v>
                  </c:pt>
                  <c:pt idx="368">
                    <c:v>old</c:v>
                  </c:pt>
                  <c:pt idx="369">
                    <c:v>old</c:v>
                  </c:pt>
                  <c:pt idx="370">
                    <c:v>old</c:v>
                  </c:pt>
                  <c:pt idx="371">
                    <c:v>old</c:v>
                  </c:pt>
                  <c:pt idx="372">
                    <c:v>old</c:v>
                  </c:pt>
                  <c:pt idx="373">
                    <c:v>old</c:v>
                  </c:pt>
                </c:lvl>
              </c:multiLvlStrCache>
            </c:multiLvlStrRef>
          </c:xVal>
          <c:yVal>
            <c:numRef>
              <c:f>formula!$G$2:$G$375</c:f>
              <c:numCache>
                <c:formatCode>General</c:formatCode>
                <c:ptCount val="374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6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  <c:pt idx="10">
                  <c:v>6</c:v>
                </c:pt>
                <c:pt idx="11">
                  <c:v>7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5</c:v>
                </c:pt>
                <c:pt idx="17">
                  <c:v>6</c:v>
                </c:pt>
                <c:pt idx="18">
                  <c:v>5</c:v>
                </c:pt>
                <c:pt idx="19">
                  <c:v>7</c:v>
                </c:pt>
                <c:pt idx="20">
                  <c:v>7</c:v>
                </c:pt>
                <c:pt idx="21">
                  <c:v>7</c:v>
                </c:pt>
                <c:pt idx="22">
                  <c:v>7</c:v>
                </c:pt>
                <c:pt idx="23">
                  <c:v>7</c:v>
                </c:pt>
                <c:pt idx="24">
                  <c:v>7</c:v>
                </c:pt>
                <c:pt idx="25">
                  <c:v>7</c:v>
                </c:pt>
                <c:pt idx="26">
                  <c:v>7</c:v>
                </c:pt>
                <c:pt idx="27">
                  <c:v>7</c:v>
                </c:pt>
                <c:pt idx="28">
                  <c:v>7</c:v>
                </c:pt>
                <c:pt idx="29">
                  <c:v>7</c:v>
                </c:pt>
                <c:pt idx="30">
                  <c:v>5</c:v>
                </c:pt>
                <c:pt idx="31">
                  <c:v>5</c:v>
                </c:pt>
                <c:pt idx="32">
                  <c:v>8</c:v>
                </c:pt>
                <c:pt idx="33">
                  <c:v>6</c:v>
                </c:pt>
                <c:pt idx="34">
                  <c:v>7</c:v>
                </c:pt>
                <c:pt idx="35">
                  <c:v>6</c:v>
                </c:pt>
                <c:pt idx="36">
                  <c:v>6</c:v>
                </c:pt>
                <c:pt idx="37">
                  <c:v>7</c:v>
                </c:pt>
                <c:pt idx="38">
                  <c:v>7</c:v>
                </c:pt>
                <c:pt idx="39">
                  <c:v>7</c:v>
                </c:pt>
                <c:pt idx="40">
                  <c:v>7</c:v>
                </c:pt>
                <c:pt idx="41">
                  <c:v>7</c:v>
                </c:pt>
                <c:pt idx="42">
                  <c:v>7</c:v>
                </c:pt>
                <c:pt idx="43">
                  <c:v>7</c:v>
                </c:pt>
                <c:pt idx="44">
                  <c:v>7</c:v>
                </c:pt>
                <c:pt idx="45">
                  <c:v>7</c:v>
                </c:pt>
                <c:pt idx="46">
                  <c:v>7</c:v>
                </c:pt>
                <c:pt idx="47">
                  <c:v>7</c:v>
                </c:pt>
                <c:pt idx="48">
                  <c:v>7</c:v>
                </c:pt>
                <c:pt idx="49">
                  <c:v>7</c:v>
                </c:pt>
                <c:pt idx="50">
                  <c:v>8</c:v>
                </c:pt>
                <c:pt idx="51">
                  <c:v>8</c:v>
                </c:pt>
                <c:pt idx="52">
                  <c:v>6</c:v>
                </c:pt>
                <c:pt idx="53">
                  <c:v>7</c:v>
                </c:pt>
                <c:pt idx="54">
                  <c:v>6</c:v>
                </c:pt>
                <c:pt idx="55">
                  <c:v>6</c:v>
                </c:pt>
                <c:pt idx="56">
                  <c:v>7</c:v>
                </c:pt>
                <c:pt idx="57">
                  <c:v>6</c:v>
                </c:pt>
                <c:pt idx="58">
                  <c:v>6</c:v>
                </c:pt>
                <c:pt idx="59">
                  <c:v>7</c:v>
                </c:pt>
                <c:pt idx="60">
                  <c:v>6</c:v>
                </c:pt>
                <c:pt idx="61">
                  <c:v>6</c:v>
                </c:pt>
                <c:pt idx="62">
                  <c:v>6</c:v>
                </c:pt>
                <c:pt idx="63">
                  <c:v>6</c:v>
                </c:pt>
                <c:pt idx="64">
                  <c:v>6</c:v>
                </c:pt>
                <c:pt idx="65">
                  <c:v>6</c:v>
                </c:pt>
                <c:pt idx="66">
                  <c:v>8</c:v>
                </c:pt>
                <c:pt idx="67">
                  <c:v>6</c:v>
                </c:pt>
                <c:pt idx="68">
                  <c:v>6</c:v>
                </c:pt>
                <c:pt idx="69">
                  <c:v>6</c:v>
                </c:pt>
                <c:pt idx="70">
                  <c:v>6</c:v>
                </c:pt>
                <c:pt idx="71">
                  <c:v>6</c:v>
                </c:pt>
                <c:pt idx="72">
                  <c:v>6</c:v>
                </c:pt>
                <c:pt idx="73">
                  <c:v>6</c:v>
                </c:pt>
                <c:pt idx="74">
                  <c:v>6</c:v>
                </c:pt>
                <c:pt idx="75">
                  <c:v>6</c:v>
                </c:pt>
                <c:pt idx="76">
                  <c:v>6</c:v>
                </c:pt>
                <c:pt idx="77">
                  <c:v>6</c:v>
                </c:pt>
                <c:pt idx="78">
                  <c:v>6</c:v>
                </c:pt>
                <c:pt idx="79">
                  <c:v>6</c:v>
                </c:pt>
                <c:pt idx="80">
                  <c:v>4</c:v>
                </c:pt>
                <c:pt idx="81">
                  <c:v>4</c:v>
                </c:pt>
                <c:pt idx="82">
                  <c:v>7</c:v>
                </c:pt>
                <c:pt idx="83">
                  <c:v>7</c:v>
                </c:pt>
                <c:pt idx="84">
                  <c:v>8</c:v>
                </c:pt>
                <c:pt idx="85">
                  <c:v>8</c:v>
                </c:pt>
                <c:pt idx="86">
                  <c:v>8</c:v>
                </c:pt>
                <c:pt idx="87">
                  <c:v>8</c:v>
                </c:pt>
                <c:pt idx="88">
                  <c:v>8</c:v>
                </c:pt>
                <c:pt idx="89">
                  <c:v>8</c:v>
                </c:pt>
                <c:pt idx="90">
                  <c:v>8</c:v>
                </c:pt>
                <c:pt idx="91">
                  <c:v>8</c:v>
                </c:pt>
                <c:pt idx="92">
                  <c:v>8</c:v>
                </c:pt>
                <c:pt idx="93">
                  <c:v>7</c:v>
                </c:pt>
                <c:pt idx="94">
                  <c:v>8</c:v>
                </c:pt>
                <c:pt idx="95">
                  <c:v>8</c:v>
                </c:pt>
                <c:pt idx="96">
                  <c:v>8</c:v>
                </c:pt>
                <c:pt idx="97">
                  <c:v>8</c:v>
                </c:pt>
                <c:pt idx="98">
                  <c:v>8</c:v>
                </c:pt>
                <c:pt idx="99">
                  <c:v>8</c:v>
                </c:pt>
                <c:pt idx="100">
                  <c:v>8</c:v>
                </c:pt>
                <c:pt idx="101">
                  <c:v>8</c:v>
                </c:pt>
                <c:pt idx="102">
                  <c:v>8</c:v>
                </c:pt>
                <c:pt idx="103">
                  <c:v>5</c:v>
                </c:pt>
                <c:pt idx="104">
                  <c:v>8</c:v>
                </c:pt>
                <c:pt idx="105">
                  <c:v>5</c:v>
                </c:pt>
                <c:pt idx="106">
                  <c:v>6</c:v>
                </c:pt>
                <c:pt idx="107">
                  <c:v>8</c:v>
                </c:pt>
                <c:pt idx="108">
                  <c:v>8</c:v>
                </c:pt>
                <c:pt idx="109">
                  <c:v>8</c:v>
                </c:pt>
                <c:pt idx="110">
                  <c:v>8</c:v>
                </c:pt>
                <c:pt idx="111">
                  <c:v>8</c:v>
                </c:pt>
                <c:pt idx="112">
                  <c:v>8</c:v>
                </c:pt>
                <c:pt idx="113">
                  <c:v>8</c:v>
                </c:pt>
                <c:pt idx="114">
                  <c:v>8</c:v>
                </c:pt>
                <c:pt idx="115">
                  <c:v>8</c:v>
                </c:pt>
                <c:pt idx="116">
                  <c:v>8</c:v>
                </c:pt>
                <c:pt idx="117">
                  <c:v>8</c:v>
                </c:pt>
                <c:pt idx="118">
                  <c:v>8</c:v>
                </c:pt>
                <c:pt idx="119">
                  <c:v>8</c:v>
                </c:pt>
                <c:pt idx="120">
                  <c:v>8</c:v>
                </c:pt>
                <c:pt idx="121">
                  <c:v>8</c:v>
                </c:pt>
                <c:pt idx="122">
                  <c:v>8</c:v>
                </c:pt>
                <c:pt idx="123">
                  <c:v>8</c:v>
                </c:pt>
                <c:pt idx="124">
                  <c:v>8</c:v>
                </c:pt>
                <c:pt idx="125">
                  <c:v>8</c:v>
                </c:pt>
                <c:pt idx="126">
                  <c:v>8</c:v>
                </c:pt>
                <c:pt idx="127">
                  <c:v>8</c:v>
                </c:pt>
                <c:pt idx="128">
                  <c:v>8</c:v>
                </c:pt>
                <c:pt idx="129">
                  <c:v>8</c:v>
                </c:pt>
                <c:pt idx="130">
                  <c:v>8</c:v>
                </c:pt>
                <c:pt idx="131">
                  <c:v>8</c:v>
                </c:pt>
                <c:pt idx="132">
                  <c:v>8</c:v>
                </c:pt>
                <c:pt idx="133">
                  <c:v>8</c:v>
                </c:pt>
                <c:pt idx="134">
                  <c:v>8</c:v>
                </c:pt>
                <c:pt idx="135">
                  <c:v>8</c:v>
                </c:pt>
                <c:pt idx="136">
                  <c:v>8</c:v>
                </c:pt>
                <c:pt idx="137">
                  <c:v>8</c:v>
                </c:pt>
                <c:pt idx="138">
                  <c:v>8</c:v>
                </c:pt>
                <c:pt idx="139">
                  <c:v>8</c:v>
                </c:pt>
                <c:pt idx="140">
                  <c:v>8</c:v>
                </c:pt>
                <c:pt idx="141">
                  <c:v>8</c:v>
                </c:pt>
                <c:pt idx="142">
                  <c:v>8</c:v>
                </c:pt>
                <c:pt idx="143">
                  <c:v>8</c:v>
                </c:pt>
                <c:pt idx="144">
                  <c:v>8</c:v>
                </c:pt>
                <c:pt idx="145">
                  <c:v>7</c:v>
                </c:pt>
                <c:pt idx="146">
                  <c:v>8</c:v>
                </c:pt>
                <c:pt idx="147">
                  <c:v>5</c:v>
                </c:pt>
                <c:pt idx="148">
                  <c:v>7</c:v>
                </c:pt>
                <c:pt idx="149">
                  <c:v>9</c:v>
                </c:pt>
                <c:pt idx="150">
                  <c:v>9</c:v>
                </c:pt>
                <c:pt idx="151">
                  <c:v>8</c:v>
                </c:pt>
                <c:pt idx="152">
                  <c:v>8</c:v>
                </c:pt>
                <c:pt idx="153">
                  <c:v>8</c:v>
                </c:pt>
                <c:pt idx="154">
                  <c:v>8</c:v>
                </c:pt>
                <c:pt idx="155">
                  <c:v>8</c:v>
                </c:pt>
                <c:pt idx="156">
                  <c:v>8</c:v>
                </c:pt>
                <c:pt idx="157">
                  <c:v>8</c:v>
                </c:pt>
                <c:pt idx="158">
                  <c:v>8</c:v>
                </c:pt>
                <c:pt idx="159">
                  <c:v>8</c:v>
                </c:pt>
                <c:pt idx="160">
                  <c:v>8</c:v>
                </c:pt>
                <c:pt idx="161">
                  <c:v>8</c:v>
                </c:pt>
                <c:pt idx="162">
                  <c:v>8</c:v>
                </c:pt>
                <c:pt idx="163">
                  <c:v>8</c:v>
                </c:pt>
                <c:pt idx="164">
                  <c:v>8</c:v>
                </c:pt>
                <c:pt idx="165">
                  <c:v>8</c:v>
                </c:pt>
                <c:pt idx="166">
                  <c:v>8</c:v>
                </c:pt>
                <c:pt idx="167">
                  <c:v>7</c:v>
                </c:pt>
                <c:pt idx="168">
                  <c:v>7</c:v>
                </c:pt>
                <c:pt idx="169">
                  <c:v>8</c:v>
                </c:pt>
                <c:pt idx="170">
                  <c:v>8</c:v>
                </c:pt>
                <c:pt idx="171">
                  <c:v>8</c:v>
                </c:pt>
                <c:pt idx="172">
                  <c:v>8</c:v>
                </c:pt>
                <c:pt idx="173">
                  <c:v>8</c:v>
                </c:pt>
                <c:pt idx="174">
                  <c:v>8</c:v>
                </c:pt>
                <c:pt idx="175">
                  <c:v>8</c:v>
                </c:pt>
                <c:pt idx="176">
                  <c:v>8</c:v>
                </c:pt>
                <c:pt idx="177">
                  <c:v>6</c:v>
                </c:pt>
                <c:pt idx="178">
                  <c:v>8</c:v>
                </c:pt>
                <c:pt idx="179">
                  <c:v>8</c:v>
                </c:pt>
                <c:pt idx="180">
                  <c:v>8</c:v>
                </c:pt>
                <c:pt idx="181">
                  <c:v>8</c:v>
                </c:pt>
                <c:pt idx="182">
                  <c:v>8</c:v>
                </c:pt>
                <c:pt idx="183">
                  <c:v>8</c:v>
                </c:pt>
                <c:pt idx="184">
                  <c:v>6</c:v>
                </c:pt>
                <c:pt idx="185">
                  <c:v>6</c:v>
                </c:pt>
                <c:pt idx="186">
                  <c:v>7</c:v>
                </c:pt>
                <c:pt idx="187">
                  <c:v>6</c:v>
                </c:pt>
                <c:pt idx="188">
                  <c:v>7</c:v>
                </c:pt>
                <c:pt idx="189">
                  <c:v>6</c:v>
                </c:pt>
                <c:pt idx="190">
                  <c:v>7</c:v>
                </c:pt>
                <c:pt idx="191">
                  <c:v>6</c:v>
                </c:pt>
                <c:pt idx="192">
                  <c:v>6</c:v>
                </c:pt>
                <c:pt idx="193">
                  <c:v>6</c:v>
                </c:pt>
                <c:pt idx="194">
                  <c:v>6</c:v>
                </c:pt>
                <c:pt idx="195">
                  <c:v>6</c:v>
                </c:pt>
                <c:pt idx="196">
                  <c:v>6</c:v>
                </c:pt>
                <c:pt idx="197">
                  <c:v>6</c:v>
                </c:pt>
                <c:pt idx="198">
                  <c:v>6</c:v>
                </c:pt>
                <c:pt idx="199">
                  <c:v>6</c:v>
                </c:pt>
                <c:pt idx="200">
                  <c:v>6</c:v>
                </c:pt>
                <c:pt idx="201">
                  <c:v>8</c:v>
                </c:pt>
                <c:pt idx="202">
                  <c:v>8</c:v>
                </c:pt>
                <c:pt idx="203">
                  <c:v>6</c:v>
                </c:pt>
                <c:pt idx="204">
                  <c:v>8</c:v>
                </c:pt>
                <c:pt idx="205">
                  <c:v>8</c:v>
                </c:pt>
                <c:pt idx="206">
                  <c:v>8</c:v>
                </c:pt>
                <c:pt idx="207">
                  <c:v>8</c:v>
                </c:pt>
                <c:pt idx="208">
                  <c:v>8</c:v>
                </c:pt>
                <c:pt idx="209">
                  <c:v>8</c:v>
                </c:pt>
                <c:pt idx="210">
                  <c:v>8</c:v>
                </c:pt>
                <c:pt idx="211">
                  <c:v>8</c:v>
                </c:pt>
                <c:pt idx="212">
                  <c:v>8</c:v>
                </c:pt>
                <c:pt idx="213">
                  <c:v>8</c:v>
                </c:pt>
                <c:pt idx="214">
                  <c:v>8</c:v>
                </c:pt>
                <c:pt idx="215">
                  <c:v>8</c:v>
                </c:pt>
                <c:pt idx="216">
                  <c:v>8</c:v>
                </c:pt>
                <c:pt idx="217">
                  <c:v>8</c:v>
                </c:pt>
                <c:pt idx="218">
                  <c:v>8</c:v>
                </c:pt>
                <c:pt idx="219">
                  <c:v>6</c:v>
                </c:pt>
                <c:pt idx="220">
                  <c:v>7</c:v>
                </c:pt>
                <c:pt idx="221">
                  <c:v>6</c:v>
                </c:pt>
                <c:pt idx="222">
                  <c:v>6</c:v>
                </c:pt>
                <c:pt idx="223">
                  <c:v>6</c:v>
                </c:pt>
                <c:pt idx="224">
                  <c:v>7</c:v>
                </c:pt>
                <c:pt idx="225">
                  <c:v>6</c:v>
                </c:pt>
                <c:pt idx="226">
                  <c:v>7</c:v>
                </c:pt>
                <c:pt idx="227">
                  <c:v>6</c:v>
                </c:pt>
                <c:pt idx="228">
                  <c:v>7</c:v>
                </c:pt>
                <c:pt idx="229">
                  <c:v>6</c:v>
                </c:pt>
                <c:pt idx="230">
                  <c:v>7</c:v>
                </c:pt>
                <c:pt idx="231">
                  <c:v>6</c:v>
                </c:pt>
                <c:pt idx="232">
                  <c:v>7</c:v>
                </c:pt>
                <c:pt idx="233">
                  <c:v>6</c:v>
                </c:pt>
                <c:pt idx="234">
                  <c:v>7</c:v>
                </c:pt>
                <c:pt idx="235">
                  <c:v>6</c:v>
                </c:pt>
                <c:pt idx="236">
                  <c:v>6</c:v>
                </c:pt>
                <c:pt idx="237">
                  <c:v>7</c:v>
                </c:pt>
                <c:pt idx="238">
                  <c:v>6</c:v>
                </c:pt>
                <c:pt idx="239">
                  <c:v>6</c:v>
                </c:pt>
                <c:pt idx="240">
                  <c:v>7</c:v>
                </c:pt>
                <c:pt idx="241">
                  <c:v>6</c:v>
                </c:pt>
                <c:pt idx="242">
                  <c:v>6</c:v>
                </c:pt>
                <c:pt idx="243">
                  <c:v>7</c:v>
                </c:pt>
                <c:pt idx="244">
                  <c:v>6</c:v>
                </c:pt>
                <c:pt idx="245">
                  <c:v>7</c:v>
                </c:pt>
                <c:pt idx="246">
                  <c:v>6</c:v>
                </c:pt>
                <c:pt idx="247">
                  <c:v>7</c:v>
                </c:pt>
                <c:pt idx="248">
                  <c:v>6</c:v>
                </c:pt>
                <c:pt idx="249">
                  <c:v>6</c:v>
                </c:pt>
                <c:pt idx="250">
                  <c:v>7</c:v>
                </c:pt>
                <c:pt idx="251">
                  <c:v>7</c:v>
                </c:pt>
                <c:pt idx="252">
                  <c:v>7</c:v>
                </c:pt>
                <c:pt idx="253">
                  <c:v>7</c:v>
                </c:pt>
                <c:pt idx="254">
                  <c:v>7</c:v>
                </c:pt>
                <c:pt idx="255">
                  <c:v>7</c:v>
                </c:pt>
                <c:pt idx="256">
                  <c:v>7</c:v>
                </c:pt>
                <c:pt idx="257">
                  <c:v>7</c:v>
                </c:pt>
                <c:pt idx="258">
                  <c:v>7</c:v>
                </c:pt>
                <c:pt idx="259">
                  <c:v>7</c:v>
                </c:pt>
                <c:pt idx="260">
                  <c:v>7</c:v>
                </c:pt>
                <c:pt idx="261">
                  <c:v>7</c:v>
                </c:pt>
                <c:pt idx="262">
                  <c:v>7</c:v>
                </c:pt>
                <c:pt idx="263">
                  <c:v>7</c:v>
                </c:pt>
                <c:pt idx="264">
                  <c:v>7</c:v>
                </c:pt>
                <c:pt idx="265">
                  <c:v>6</c:v>
                </c:pt>
                <c:pt idx="266">
                  <c:v>7</c:v>
                </c:pt>
                <c:pt idx="267">
                  <c:v>6</c:v>
                </c:pt>
                <c:pt idx="268">
                  <c:v>6</c:v>
                </c:pt>
                <c:pt idx="269">
                  <c:v>6</c:v>
                </c:pt>
                <c:pt idx="270">
                  <c:v>6</c:v>
                </c:pt>
                <c:pt idx="271">
                  <c:v>6</c:v>
                </c:pt>
                <c:pt idx="272">
                  <c:v>6</c:v>
                </c:pt>
                <c:pt idx="273">
                  <c:v>6</c:v>
                </c:pt>
                <c:pt idx="274">
                  <c:v>6</c:v>
                </c:pt>
                <c:pt idx="275">
                  <c:v>6</c:v>
                </c:pt>
                <c:pt idx="276">
                  <c:v>9</c:v>
                </c:pt>
                <c:pt idx="277">
                  <c:v>9</c:v>
                </c:pt>
                <c:pt idx="278">
                  <c:v>6</c:v>
                </c:pt>
                <c:pt idx="279">
                  <c:v>9</c:v>
                </c:pt>
                <c:pt idx="280">
                  <c:v>6</c:v>
                </c:pt>
                <c:pt idx="281">
                  <c:v>6</c:v>
                </c:pt>
                <c:pt idx="282">
                  <c:v>6</c:v>
                </c:pt>
                <c:pt idx="283">
                  <c:v>6</c:v>
                </c:pt>
                <c:pt idx="284">
                  <c:v>6</c:v>
                </c:pt>
                <c:pt idx="285">
                  <c:v>6</c:v>
                </c:pt>
                <c:pt idx="286">
                  <c:v>6</c:v>
                </c:pt>
                <c:pt idx="287">
                  <c:v>6</c:v>
                </c:pt>
                <c:pt idx="288">
                  <c:v>6</c:v>
                </c:pt>
                <c:pt idx="289">
                  <c:v>6</c:v>
                </c:pt>
                <c:pt idx="290">
                  <c:v>6</c:v>
                </c:pt>
                <c:pt idx="291">
                  <c:v>6</c:v>
                </c:pt>
                <c:pt idx="292">
                  <c:v>6</c:v>
                </c:pt>
                <c:pt idx="293">
                  <c:v>6</c:v>
                </c:pt>
                <c:pt idx="294">
                  <c:v>6</c:v>
                </c:pt>
                <c:pt idx="295">
                  <c:v>6</c:v>
                </c:pt>
                <c:pt idx="296">
                  <c:v>6</c:v>
                </c:pt>
                <c:pt idx="297">
                  <c:v>6</c:v>
                </c:pt>
                <c:pt idx="298">
                  <c:v>9</c:v>
                </c:pt>
                <c:pt idx="299">
                  <c:v>9</c:v>
                </c:pt>
                <c:pt idx="300">
                  <c:v>9</c:v>
                </c:pt>
                <c:pt idx="301">
                  <c:v>9</c:v>
                </c:pt>
                <c:pt idx="302">
                  <c:v>7</c:v>
                </c:pt>
                <c:pt idx="303">
                  <c:v>6</c:v>
                </c:pt>
                <c:pt idx="304">
                  <c:v>6</c:v>
                </c:pt>
                <c:pt idx="305">
                  <c:v>6</c:v>
                </c:pt>
                <c:pt idx="306">
                  <c:v>7</c:v>
                </c:pt>
                <c:pt idx="307">
                  <c:v>7</c:v>
                </c:pt>
                <c:pt idx="308">
                  <c:v>7</c:v>
                </c:pt>
                <c:pt idx="309">
                  <c:v>7</c:v>
                </c:pt>
                <c:pt idx="310">
                  <c:v>7</c:v>
                </c:pt>
                <c:pt idx="311">
                  <c:v>7</c:v>
                </c:pt>
                <c:pt idx="312">
                  <c:v>9</c:v>
                </c:pt>
                <c:pt idx="313">
                  <c:v>9</c:v>
                </c:pt>
                <c:pt idx="314">
                  <c:v>9</c:v>
                </c:pt>
                <c:pt idx="315">
                  <c:v>9</c:v>
                </c:pt>
                <c:pt idx="316">
                  <c:v>9</c:v>
                </c:pt>
                <c:pt idx="317">
                  <c:v>9</c:v>
                </c:pt>
                <c:pt idx="318">
                  <c:v>9</c:v>
                </c:pt>
                <c:pt idx="319">
                  <c:v>9</c:v>
                </c:pt>
                <c:pt idx="320">
                  <c:v>9</c:v>
                </c:pt>
                <c:pt idx="321">
                  <c:v>9</c:v>
                </c:pt>
                <c:pt idx="322">
                  <c:v>9</c:v>
                </c:pt>
                <c:pt idx="323">
                  <c:v>9</c:v>
                </c:pt>
                <c:pt idx="324">
                  <c:v>9</c:v>
                </c:pt>
                <c:pt idx="325">
                  <c:v>9</c:v>
                </c:pt>
                <c:pt idx="326">
                  <c:v>9</c:v>
                </c:pt>
                <c:pt idx="327">
                  <c:v>9</c:v>
                </c:pt>
                <c:pt idx="328">
                  <c:v>9</c:v>
                </c:pt>
                <c:pt idx="329">
                  <c:v>9</c:v>
                </c:pt>
                <c:pt idx="330">
                  <c:v>9</c:v>
                </c:pt>
                <c:pt idx="331">
                  <c:v>9</c:v>
                </c:pt>
                <c:pt idx="332">
                  <c:v>9</c:v>
                </c:pt>
                <c:pt idx="333">
                  <c:v>9</c:v>
                </c:pt>
                <c:pt idx="334">
                  <c:v>9</c:v>
                </c:pt>
                <c:pt idx="335">
                  <c:v>9</c:v>
                </c:pt>
                <c:pt idx="336">
                  <c:v>9</c:v>
                </c:pt>
                <c:pt idx="337">
                  <c:v>9</c:v>
                </c:pt>
                <c:pt idx="338">
                  <c:v>9</c:v>
                </c:pt>
                <c:pt idx="339">
                  <c:v>9</c:v>
                </c:pt>
                <c:pt idx="340">
                  <c:v>9</c:v>
                </c:pt>
                <c:pt idx="341">
                  <c:v>9</c:v>
                </c:pt>
                <c:pt idx="342">
                  <c:v>9</c:v>
                </c:pt>
                <c:pt idx="343">
                  <c:v>9</c:v>
                </c:pt>
                <c:pt idx="344">
                  <c:v>9</c:v>
                </c:pt>
                <c:pt idx="345">
                  <c:v>9</c:v>
                </c:pt>
                <c:pt idx="346">
                  <c:v>9</c:v>
                </c:pt>
                <c:pt idx="347">
                  <c:v>9</c:v>
                </c:pt>
                <c:pt idx="348">
                  <c:v>9</c:v>
                </c:pt>
                <c:pt idx="349">
                  <c:v>9</c:v>
                </c:pt>
                <c:pt idx="350">
                  <c:v>9</c:v>
                </c:pt>
                <c:pt idx="351">
                  <c:v>9</c:v>
                </c:pt>
                <c:pt idx="352">
                  <c:v>9</c:v>
                </c:pt>
                <c:pt idx="353">
                  <c:v>9</c:v>
                </c:pt>
                <c:pt idx="354">
                  <c:v>9</c:v>
                </c:pt>
                <c:pt idx="355">
                  <c:v>9</c:v>
                </c:pt>
                <c:pt idx="356">
                  <c:v>9</c:v>
                </c:pt>
                <c:pt idx="357">
                  <c:v>9</c:v>
                </c:pt>
                <c:pt idx="358">
                  <c:v>9</c:v>
                </c:pt>
                <c:pt idx="359">
                  <c:v>9</c:v>
                </c:pt>
                <c:pt idx="360">
                  <c:v>9</c:v>
                </c:pt>
                <c:pt idx="361">
                  <c:v>9</c:v>
                </c:pt>
                <c:pt idx="362">
                  <c:v>9</c:v>
                </c:pt>
                <c:pt idx="363">
                  <c:v>9</c:v>
                </c:pt>
                <c:pt idx="364">
                  <c:v>9</c:v>
                </c:pt>
                <c:pt idx="365">
                  <c:v>9</c:v>
                </c:pt>
                <c:pt idx="366">
                  <c:v>9</c:v>
                </c:pt>
                <c:pt idx="367">
                  <c:v>9</c:v>
                </c:pt>
                <c:pt idx="368">
                  <c:v>9</c:v>
                </c:pt>
                <c:pt idx="369">
                  <c:v>9</c:v>
                </c:pt>
                <c:pt idx="370">
                  <c:v>9</c:v>
                </c:pt>
                <c:pt idx="371">
                  <c:v>9</c:v>
                </c:pt>
                <c:pt idx="372">
                  <c:v>9</c:v>
                </c:pt>
                <c:pt idx="373">
                  <c:v>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0A6-474B-B056-124ED3DC66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4852871"/>
        <c:axId val="17745416"/>
      </c:scatterChart>
      <c:valAx>
        <c:axId val="2074852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45416"/>
        <c:crosses val="autoZero"/>
        <c:crossBetween val="midCat"/>
      </c:valAx>
      <c:valAx>
        <c:axId val="177454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4852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[Sleep_health_and_lifestyle_dataanalysis.xlsx]工作表2!樞紐分析表2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Stress and Physical Level among BMI Groups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dot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dot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dot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dot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dot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工作表2!$B$3</c:f>
              <c:strCache>
                <c:ptCount val="1"/>
                <c:pt idx="0">
                  <c:v>平均值 - Physical Activity Level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工作表2!$A$4:$A$7</c:f>
              <c:strCache>
                <c:ptCount val="3"/>
                <c:pt idx="0">
                  <c:v>Normal</c:v>
                </c:pt>
                <c:pt idx="1">
                  <c:v>Obese</c:v>
                </c:pt>
                <c:pt idx="2">
                  <c:v>Overweight</c:v>
                </c:pt>
              </c:strCache>
            </c:strRef>
          </c:cat>
          <c:val>
            <c:numRef>
              <c:f>工作表2!$B$4:$B$7</c:f>
              <c:numCache>
                <c:formatCode>General</c:formatCode>
                <c:ptCount val="3"/>
                <c:pt idx="0">
                  <c:v>57.949074074074076</c:v>
                </c:pt>
                <c:pt idx="1">
                  <c:v>55</c:v>
                </c:pt>
                <c:pt idx="2">
                  <c:v>61.236486486486484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D7-4AC5-BEA4-6EAD94BB4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9197192"/>
        <c:axId val="39199752"/>
      </c:barChart>
      <c:lineChart>
        <c:grouping val="standard"/>
        <c:varyColors val="0"/>
        <c:ser>
          <c:idx val="1"/>
          <c:order val="1"/>
          <c:tx>
            <c:strRef>
              <c:f>工作表2!$C$3</c:f>
              <c:strCache>
                <c:ptCount val="1"/>
                <c:pt idx="0">
                  <c:v>平均值 - Stress Level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dot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工作表2!$A$4:$A$7</c:f>
              <c:strCache>
                <c:ptCount val="3"/>
                <c:pt idx="0">
                  <c:v>Normal</c:v>
                </c:pt>
                <c:pt idx="1">
                  <c:v>Obese</c:v>
                </c:pt>
                <c:pt idx="2">
                  <c:v>Overweight</c:v>
                </c:pt>
              </c:strCache>
            </c:strRef>
          </c:cat>
          <c:val>
            <c:numRef>
              <c:f>工作表2!$C$4:$C$7</c:f>
              <c:numCache>
                <c:formatCode>General</c:formatCode>
                <c:ptCount val="3"/>
                <c:pt idx="0">
                  <c:v>5.1342592592592595</c:v>
                </c:pt>
                <c:pt idx="1">
                  <c:v>5.7</c:v>
                </c:pt>
                <c:pt idx="2">
                  <c:v>5.7297297297297298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BD7-4AC5-BEA4-6EAD94BB4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54759688"/>
        <c:axId val="954756616"/>
      </c:lineChart>
      <c:catAx>
        <c:axId val="39197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199752"/>
        <c:crosses val="autoZero"/>
        <c:auto val="1"/>
        <c:lblAlgn val="ctr"/>
        <c:lblOffset val="100"/>
        <c:noMultiLvlLbl val="0"/>
      </c:catAx>
      <c:valAx>
        <c:axId val="39199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Physical Activity Level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197192"/>
        <c:crosses val="autoZero"/>
        <c:crossBetween val="between"/>
      </c:valAx>
      <c:valAx>
        <c:axId val="954756616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Stress Level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4759688"/>
        <c:crosses val="max"/>
        <c:crossBetween val="between"/>
      </c:valAx>
      <c:catAx>
        <c:axId val="954759688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BMI Group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95475661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5011437206712797"/>
          <c:y val="0.37983668708078161"/>
          <c:w val="0.32968360773085181"/>
          <c:h val="0.2569466316710410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22</xdr:row>
      <xdr:rowOff>123825</xdr:rowOff>
    </xdr:from>
    <xdr:to>
      <xdr:col>13</xdr:col>
      <xdr:colOff>1247775</xdr:colOff>
      <xdr:row>44</xdr:row>
      <xdr:rowOff>133350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D714CB4F-F922-5B51-BB48-F0B427793E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9</xdr:row>
      <xdr:rowOff>9525</xdr:rowOff>
    </xdr:from>
    <xdr:to>
      <xdr:col>3</xdr:col>
      <xdr:colOff>57150</xdr:colOff>
      <xdr:row>23</xdr:row>
      <xdr:rowOff>85725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92732CEC-A786-7DED-807A-0411E2A703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333375</xdr:colOff>
      <xdr:row>12</xdr:row>
      <xdr:rowOff>85725</xdr:rowOff>
    </xdr:from>
    <xdr:to>
      <xdr:col>8</xdr:col>
      <xdr:colOff>142875</xdr:colOff>
      <xdr:row>31</xdr:row>
      <xdr:rowOff>114300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74EB2DA8-A64F-78DC-168F-20492DFA89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14</xdr:row>
      <xdr:rowOff>180975</xdr:rowOff>
    </xdr:from>
    <xdr:to>
      <xdr:col>9</xdr:col>
      <xdr:colOff>466725</xdr:colOff>
      <xdr:row>47</xdr:row>
      <xdr:rowOff>0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EF61AA6B-9533-BFAC-644C-9A7555BE94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9525</xdr:rowOff>
    </xdr:from>
    <xdr:to>
      <xdr:col>8</xdr:col>
      <xdr:colOff>180975</xdr:colOff>
      <xdr:row>25</xdr:row>
      <xdr:rowOff>9525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76D98221-6907-4362-8B41-97A51E5E44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28</xdr:row>
      <xdr:rowOff>9525</xdr:rowOff>
    </xdr:from>
    <xdr:to>
      <xdr:col>8</xdr:col>
      <xdr:colOff>190500</xdr:colOff>
      <xdr:row>60</xdr:row>
      <xdr:rowOff>152400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AB54C8F4-7807-418F-81C2-E3D4B9F6543A}"/>
            </a:ext>
            <a:ext uri="{147F2762-F138-4A5C-976F-8EAC2B608ADB}">
              <a16:predDERef xmlns:a16="http://schemas.microsoft.com/office/drawing/2014/main" pred="{76D98221-6907-4362-8B41-97A51E5E44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666750</xdr:colOff>
      <xdr:row>5</xdr:row>
      <xdr:rowOff>0</xdr:rowOff>
    </xdr:from>
    <xdr:to>
      <xdr:col>20</xdr:col>
      <xdr:colOff>19050</xdr:colOff>
      <xdr:row>25</xdr:row>
      <xdr:rowOff>0</xdr:rowOff>
    </xdr:to>
    <xdr:graphicFrame macro="">
      <xdr:nvGraphicFramePr>
        <xdr:cNvPr id="5" name="圖表 4">
          <a:extLst>
            <a:ext uri="{FF2B5EF4-FFF2-40B4-BE49-F238E27FC236}">
              <a16:creationId xmlns:a16="http://schemas.microsoft.com/office/drawing/2014/main" id="{0FDBBE35-70B0-471F-B9DF-BD8CB8AC9817}"/>
            </a:ext>
            <a:ext uri="{147F2762-F138-4A5C-976F-8EAC2B608ADB}">
              <a16:predDERef xmlns:a16="http://schemas.microsoft.com/office/drawing/2014/main" pred="{AB54C8F4-7807-418F-81C2-E3D4B9F654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676275</xdr:colOff>
      <xdr:row>28</xdr:row>
      <xdr:rowOff>0</xdr:rowOff>
    </xdr:from>
    <xdr:to>
      <xdr:col>18</xdr:col>
      <xdr:colOff>666750</xdr:colOff>
      <xdr:row>55</xdr:row>
      <xdr:rowOff>95250</xdr:rowOff>
    </xdr:to>
    <xdr:graphicFrame macro="">
      <xdr:nvGraphicFramePr>
        <xdr:cNvPr id="6" name="圖表 5">
          <a:extLst>
            <a:ext uri="{FF2B5EF4-FFF2-40B4-BE49-F238E27FC236}">
              <a16:creationId xmlns:a16="http://schemas.microsoft.com/office/drawing/2014/main" id="{D7B399B3-F333-47A4-9690-9BC451737108}"/>
            </a:ext>
            <a:ext uri="{147F2762-F138-4A5C-976F-8EAC2B608ADB}">
              <a16:predDERef xmlns:a16="http://schemas.microsoft.com/office/drawing/2014/main" pred="{0FDBBE35-70B0-471F-B9DF-BD8CB8AC98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26.791422337963" createdVersion="8" refreshedVersion="8" minRefreshableVersion="3" recordCount="375" xr:uid="{047E99D4-DB5D-4CC2-9EA4-2BAEFBB0F5D6}">
  <cacheSource type="worksheet">
    <worksheetSource ref="A1:M1048576" sheet="index"/>
  </cacheSource>
  <cacheFields count="13">
    <cacheField name="Person ID" numFmtId="0">
      <sharedItems containsString="0" containsBlank="1" containsNumber="1" containsInteger="1" minValue="1" maxValue="374"/>
    </cacheField>
    <cacheField name="Gender" numFmtId="0">
      <sharedItems containsBlank="1" count="3">
        <s v="Male"/>
        <s v="Female"/>
        <m/>
      </sharedItems>
    </cacheField>
    <cacheField name="Age" numFmtId="0">
      <sharedItems containsString="0" containsBlank="1" containsNumber="1" containsInteger="1" minValue="27" maxValue="59"/>
    </cacheField>
    <cacheField name="Occupation" numFmtId="0">
      <sharedItems containsBlank="1"/>
    </cacheField>
    <cacheField name="Sleep Duration" numFmtId="0">
      <sharedItems containsString="0" containsBlank="1" containsNumber="1" minValue="5.8" maxValue="8.5" count="28">
        <n v="6.1"/>
        <n v="6.2"/>
        <n v="5.9"/>
        <n v="6.3"/>
        <n v="7.8"/>
        <n v="6"/>
        <n v="6.5"/>
        <n v="7.6"/>
        <n v="7.7"/>
        <n v="7.9"/>
        <n v="6.4"/>
        <n v="7.5"/>
        <n v="7.2"/>
        <n v="5.8"/>
        <n v="6.7"/>
        <n v="7.3"/>
        <n v="7.4"/>
        <n v="7.1"/>
        <n v="6.6"/>
        <n v="6.9"/>
        <n v="8"/>
        <n v="6.8"/>
        <n v="8.1"/>
        <n v="8.3000000000000007"/>
        <n v="8.5"/>
        <n v="8.4"/>
        <n v="8.1999999999999993"/>
        <m/>
      </sharedItems>
    </cacheField>
    <cacheField name="Quality of Sleep" numFmtId="0">
      <sharedItems containsString="0" containsBlank="1" containsNumber="1" containsInteger="1" minValue="4" maxValue="9" count="7">
        <n v="6"/>
        <n v="4"/>
        <n v="7"/>
        <n v="5"/>
        <n v="8"/>
        <n v="9"/>
        <m/>
      </sharedItems>
    </cacheField>
    <cacheField name="Physical Activity Level" numFmtId="0">
      <sharedItems containsString="0" containsBlank="1" containsNumber="1" containsInteger="1" minValue="30" maxValue="90"/>
    </cacheField>
    <cacheField name="Stress Level" numFmtId="0">
      <sharedItems containsString="0" containsBlank="1" containsNumber="1" containsInteger="1" minValue="3" maxValue="8" count="7">
        <n v="6"/>
        <n v="8"/>
        <n v="7"/>
        <n v="4"/>
        <n v="3"/>
        <n v="5"/>
        <m/>
      </sharedItems>
    </cacheField>
    <cacheField name="BMI Category" numFmtId="0">
      <sharedItems containsBlank="1" count="5">
        <s v="Overweight"/>
        <s v="Normal"/>
        <s v="Obese"/>
        <m/>
        <s v="Normal Weight" u="1"/>
      </sharedItems>
    </cacheField>
    <cacheField name="Blood Pressure" numFmtId="0">
      <sharedItems containsBlank="1" count="26">
        <s v="126/83"/>
        <s v="125/80"/>
        <s v="140/90"/>
        <s v="120/80"/>
        <s v="132/87"/>
        <s v="130/86"/>
        <s v="117/76"/>
        <s v="118/76"/>
        <s v="128/85"/>
        <s v="131/86"/>
        <s v="128/84"/>
        <s v="115/75"/>
        <s v="135/88"/>
        <s v="129/84"/>
        <s v="130/85"/>
        <s v="115/78"/>
        <s v="119/77"/>
        <s v="121/79"/>
        <s v="125/82"/>
        <s v="135/90"/>
        <s v="122/80"/>
        <s v="142/92"/>
        <s v="140/95"/>
        <s v="139/91"/>
        <s v="118/75"/>
        <m/>
      </sharedItems>
    </cacheField>
    <cacheField name="Heart Rate" numFmtId="0">
      <sharedItems containsString="0" containsBlank="1" containsNumber="1" containsInteger="1" minValue="65" maxValue="86"/>
    </cacheField>
    <cacheField name="Daily Steps" numFmtId="0">
      <sharedItems containsString="0" containsBlank="1" containsNumber="1" containsInteger="1" minValue="3000" maxValue="10000"/>
    </cacheField>
    <cacheField name="Sleep Disorder" numFmtId="0">
      <sharedItems containsBlank="1" count="4">
        <s v="None"/>
        <s v="Sleep Apnea"/>
        <s v="Insomnia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26.799266087961" createdVersion="8" refreshedVersion="8" minRefreshableVersion="3" recordCount="390" xr:uid="{46F1FF06-574B-4923-B2CB-FE0DB2C1312F}">
  <cacheSource type="worksheet">
    <worksheetSource ref="A1:P1048576" sheet="formula"/>
  </cacheSource>
  <cacheFields count="16">
    <cacheField name="Person ID" numFmtId="0">
      <sharedItems containsString="0" containsBlank="1" containsNumber="1" containsInteger="1" minValue="1" maxValue="374" count="375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m/>
      </sharedItems>
    </cacheField>
    <cacheField name="Gender" numFmtId="0">
      <sharedItems containsBlank="1" containsMixedTypes="1" containsNumber="1" containsInteger="1" minValue="185" maxValue="185" count="5">
        <s v="Male"/>
        <s v="Female"/>
        <m/>
        <s v="sum Female"/>
        <n v="185"/>
      </sharedItems>
    </cacheField>
    <cacheField name="Age" numFmtId="0">
      <sharedItems containsBlank="1" containsMixedTypes="1" containsNumber="1" containsInteger="1" minValue="27" maxValue="189"/>
    </cacheField>
    <cacheField name="Age Group" numFmtId="0">
      <sharedItems containsBlank="1" count="4">
        <s v="young"/>
        <s v="middle age"/>
        <s v="old"/>
        <m/>
      </sharedItems>
    </cacheField>
    <cacheField name="Occupation" numFmtId="0">
      <sharedItems containsBlank="1"/>
    </cacheField>
    <cacheField name="Sleep Duration" numFmtId="0">
      <sharedItems containsBlank="1" containsMixedTypes="1" containsNumber="1" minValue="5.8" maxValue="2667.3999999999965" count="34">
        <n v="6.1"/>
        <n v="6.2"/>
        <n v="5.9"/>
        <n v="6.3"/>
        <n v="7.8"/>
        <n v="6"/>
        <n v="6.5"/>
        <n v="7.6"/>
        <n v="7.7"/>
        <n v="7.9"/>
        <n v="6.4"/>
        <n v="7.5"/>
        <n v="7.2"/>
        <n v="5.8"/>
        <n v="6.7"/>
        <n v="7.3"/>
        <n v="7.4"/>
        <n v="7.1"/>
        <n v="6.6"/>
        <n v="6.9"/>
        <n v="8"/>
        <n v="6.8"/>
        <n v="8.1"/>
        <n v="8.3000000000000007"/>
        <n v="8.5"/>
        <n v="8.4"/>
        <n v="8.1999999999999993"/>
        <n v="2667.3999999999965"/>
        <n v="7.1320855614973171"/>
        <m/>
        <s v="female sum sleep"/>
        <n v="1337.4999999999998"/>
        <s v="female avg sleep"/>
        <n v="7.2297297297297289"/>
      </sharedItems>
    </cacheField>
    <cacheField name="Quality of Sleep" numFmtId="0">
      <sharedItems containsBlank="1" containsMixedTypes="1" containsNumber="1" minValue="4" maxValue="2735" count="13">
        <n v="6"/>
        <n v="4"/>
        <n v="7"/>
        <n v="5"/>
        <n v="8"/>
        <n v="9"/>
        <n v="2735"/>
        <n v="7.3128342245989302"/>
        <m/>
        <s v="male sum sleep"/>
        <n v="1329.8999999999994"/>
        <s v="male avg sleep"/>
        <n v="7.0365079365079337"/>
      </sharedItems>
    </cacheField>
    <cacheField name="Physical Activity Level" numFmtId="0">
      <sharedItems containsBlank="1" containsMixedTypes="1" containsNumber="1" minValue="30" maxValue="22130" count="23">
        <n v="42"/>
        <n v="60"/>
        <n v="30"/>
        <n v="40"/>
        <n v="75"/>
        <n v="35"/>
        <n v="45"/>
        <n v="50"/>
        <n v="32"/>
        <n v="70"/>
        <n v="80"/>
        <n v="55"/>
        <n v="90"/>
        <n v="47"/>
        <n v="65"/>
        <n v="85"/>
        <n v="22130"/>
        <n v="59.171122994652407"/>
        <m/>
        <s v="sum female pyshical level"/>
        <n v="592.50000000000034"/>
        <s v="avg female pyshical level"/>
        <n v="59.140540540540542"/>
      </sharedItems>
    </cacheField>
    <cacheField name="Stress Level" numFmtId="0">
      <sharedItems containsBlank="1" containsMixedTypes="1" containsNumber="1" minValue="3" maxValue="11019" count="13">
        <n v="6"/>
        <n v="8"/>
        <n v="7"/>
        <n v="4"/>
        <n v="3"/>
        <n v="5"/>
        <n v="2014"/>
        <n v="5.3850267379679142"/>
        <m/>
        <s v="sum male pysical level"/>
        <n v="11019"/>
        <s v="avg male physical level"/>
        <n v="59.201058201058203"/>
      </sharedItems>
    </cacheField>
    <cacheField name="BMI Category" numFmtId="0">
      <sharedItems containsBlank="1" containsMixedTypes="1" containsNumber="1" minValue="4.6756756756756754" maxValue="865" count="8">
        <s v="Overweight"/>
        <s v="Normal"/>
        <s v="Obese"/>
        <m/>
        <s v="sum female stress level"/>
        <n v="865"/>
        <s v="avg female stress level"/>
        <n v="4.6756756756756754"/>
      </sharedItems>
    </cacheField>
    <cacheField name="Blood Pressure" numFmtId="0">
      <sharedItems containsBlank="1" containsMixedTypes="1" containsNumber="1" minValue="6.0793650793650791" maxValue="1149" count="30">
        <s v="126/83"/>
        <s v="125/80"/>
        <s v="140/90"/>
        <s v="120/80"/>
        <s v="132/87"/>
        <s v="130/86"/>
        <s v="117/76"/>
        <s v="118/76"/>
        <s v="128/85"/>
        <s v="131/86"/>
        <s v="128/84"/>
        <s v="115/75"/>
        <s v="135/88"/>
        <s v="129/84"/>
        <s v="130/85"/>
        <s v="115/78"/>
        <s v="119/77"/>
        <s v="121/79"/>
        <s v="125/82"/>
        <s v="135/90"/>
        <s v="122/80"/>
        <s v="142/92"/>
        <s v="140/95"/>
        <s v="139/91"/>
        <s v="118/75"/>
        <m/>
        <s v="sum male stress level"/>
        <n v="1149"/>
        <s v="avg male stress level"/>
        <n v="6.0793650793650791"/>
      </sharedItems>
    </cacheField>
    <cacheField name="Max Blood Pressure" numFmtId="0">
      <sharedItems containsBlank="1" containsMixedTypes="1" containsNumber="1" minValue="115" maxValue="48079" count="25">
        <n v="126"/>
        <n v="125"/>
        <n v="140"/>
        <n v="120"/>
        <n v="132"/>
        <n v="130"/>
        <n v="117"/>
        <n v="118"/>
        <n v="128"/>
        <n v="131"/>
        <n v="115"/>
        <n v="135"/>
        <n v="129"/>
        <n v="119"/>
        <n v="121"/>
        <n v="122"/>
        <n v="142"/>
        <n v="139"/>
        <n v="48079"/>
        <n v="128.55347593582889"/>
        <m/>
        <s v="sum female MAX blood pressure"/>
        <n v="24087"/>
        <s v="avg female MAX blood pressure"/>
        <n v="130.19999999999999"/>
      </sharedItems>
    </cacheField>
    <cacheField name="Min Blood Pressure" numFmtId="0">
      <sharedItems containsBlank="1" containsMixedTypes="1" containsNumber="1" minValue="75" maxValue="31659" count="24">
        <n v="83"/>
        <n v="80"/>
        <n v="90"/>
        <n v="87"/>
        <n v="86"/>
        <n v="76"/>
        <n v="85"/>
        <n v="84"/>
        <n v="75"/>
        <n v="88"/>
        <n v="78"/>
        <n v="77"/>
        <n v="79"/>
        <n v="82"/>
        <n v="92"/>
        <n v="95"/>
        <n v="91"/>
        <n v="31659"/>
        <n v="84.649732620320862"/>
        <m/>
        <s v="sum male MAX blood pressure"/>
        <n v="23992"/>
        <s v="avg male MAX blood pressure"/>
        <n v="126.94179894179894"/>
      </sharedItems>
    </cacheField>
    <cacheField name="Heart Rate" numFmtId="0">
      <sharedItems containsBlank="1" containsMixedTypes="1" containsNumber="1" minValue="5.3850267379679142" maxValue="26242"/>
    </cacheField>
    <cacheField name="Daily Steps" numFmtId="0">
      <sharedItems containsBlank="1" containsMixedTypes="1" containsNumber="1" minValue="83.015873015873012" maxValue="2549500" count="27">
        <n v="4200"/>
        <n v="10000"/>
        <n v="3000"/>
        <n v="3500"/>
        <n v="8000"/>
        <n v="4000"/>
        <n v="4100"/>
        <n v="6800"/>
        <n v="5000"/>
        <n v="7000"/>
        <n v="5500"/>
        <n v="5200"/>
        <n v="5600"/>
        <n v="3300"/>
        <n v="4800"/>
        <n v="7500"/>
        <n v="7300"/>
        <n v="6200"/>
        <n v="6000"/>
        <n v="3700"/>
        <n v="2549500"/>
        <n v="6816.8449197860964"/>
        <m/>
        <s v="sum male MIN blood pressure"/>
        <n v="15690"/>
        <s v="avg male MIn blood pressure"/>
        <n v="83.015873015873012"/>
      </sharedItems>
    </cacheField>
    <cacheField name="Sleep Disorder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27.753912268519" createdVersion="8" refreshedVersion="8" minRefreshableVersion="3" recordCount="374" xr:uid="{1755A397-17BA-42E8-8D46-E305B17FA79E}">
  <cacheSource type="worksheet">
    <worksheetSource ref="H1:J375" sheet="formula"/>
  </cacheSource>
  <cacheFields count="3">
    <cacheField name="Physical Activity Level" numFmtId="0">
      <sharedItems containsSemiMixedTypes="0" containsString="0" containsNumber="1" containsInteger="1" minValue="30" maxValue="90" count="16">
        <n v="42"/>
        <n v="60"/>
        <n v="30"/>
        <n v="40"/>
        <n v="75"/>
        <n v="35"/>
        <n v="45"/>
        <n v="50"/>
        <n v="32"/>
        <n v="70"/>
        <n v="80"/>
        <n v="55"/>
        <n v="90"/>
        <n v="47"/>
        <n v="65"/>
        <n v="85"/>
      </sharedItems>
    </cacheField>
    <cacheField name="Stress Level" numFmtId="0">
      <sharedItems containsSemiMixedTypes="0" containsString="0" containsNumber="1" containsInteger="1" minValue="3" maxValue="8" count="6">
        <n v="6"/>
        <n v="8"/>
        <n v="7"/>
        <n v="4"/>
        <n v="3"/>
        <n v="5"/>
      </sharedItems>
    </cacheField>
    <cacheField name="BMI Category" numFmtId="0">
      <sharedItems count="3">
        <s v="Overweight"/>
        <s v="Normal"/>
        <s v="Obes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5">
  <r>
    <n v="1"/>
    <x v="0"/>
    <n v="27"/>
    <s v="Software Engineer"/>
    <x v="0"/>
    <x v="0"/>
    <n v="42"/>
    <x v="0"/>
    <x v="0"/>
    <x v="0"/>
    <n v="77"/>
    <n v="4200"/>
    <x v="0"/>
  </r>
  <r>
    <n v="2"/>
    <x v="0"/>
    <n v="28"/>
    <s v="Doctor"/>
    <x v="1"/>
    <x v="0"/>
    <n v="60"/>
    <x v="1"/>
    <x v="1"/>
    <x v="1"/>
    <n v="75"/>
    <n v="10000"/>
    <x v="0"/>
  </r>
  <r>
    <n v="3"/>
    <x v="0"/>
    <n v="28"/>
    <s v="Doctor"/>
    <x v="1"/>
    <x v="0"/>
    <n v="60"/>
    <x v="1"/>
    <x v="1"/>
    <x v="1"/>
    <n v="75"/>
    <n v="10000"/>
    <x v="0"/>
  </r>
  <r>
    <n v="4"/>
    <x v="0"/>
    <n v="28"/>
    <s v="Sales Representative"/>
    <x v="2"/>
    <x v="1"/>
    <n v="30"/>
    <x v="1"/>
    <x v="2"/>
    <x v="2"/>
    <n v="85"/>
    <n v="3000"/>
    <x v="1"/>
  </r>
  <r>
    <n v="5"/>
    <x v="0"/>
    <n v="28"/>
    <s v="Sales Representative"/>
    <x v="2"/>
    <x v="1"/>
    <n v="30"/>
    <x v="1"/>
    <x v="2"/>
    <x v="2"/>
    <n v="85"/>
    <n v="3000"/>
    <x v="1"/>
  </r>
  <r>
    <n v="6"/>
    <x v="0"/>
    <n v="28"/>
    <s v="Software Engineer"/>
    <x v="2"/>
    <x v="1"/>
    <n v="30"/>
    <x v="1"/>
    <x v="2"/>
    <x v="2"/>
    <n v="85"/>
    <n v="3000"/>
    <x v="2"/>
  </r>
  <r>
    <n v="7"/>
    <x v="0"/>
    <n v="29"/>
    <s v="Teacher"/>
    <x v="3"/>
    <x v="0"/>
    <n v="40"/>
    <x v="2"/>
    <x v="2"/>
    <x v="2"/>
    <n v="82"/>
    <n v="3500"/>
    <x v="2"/>
  </r>
  <r>
    <n v="8"/>
    <x v="0"/>
    <n v="29"/>
    <s v="Doctor"/>
    <x v="4"/>
    <x v="2"/>
    <n v="75"/>
    <x v="0"/>
    <x v="1"/>
    <x v="3"/>
    <n v="70"/>
    <n v="8000"/>
    <x v="0"/>
  </r>
  <r>
    <n v="9"/>
    <x v="0"/>
    <n v="29"/>
    <s v="Doctor"/>
    <x v="4"/>
    <x v="2"/>
    <n v="75"/>
    <x v="0"/>
    <x v="1"/>
    <x v="3"/>
    <n v="70"/>
    <n v="8000"/>
    <x v="0"/>
  </r>
  <r>
    <n v="10"/>
    <x v="0"/>
    <n v="29"/>
    <s v="Doctor"/>
    <x v="4"/>
    <x v="2"/>
    <n v="75"/>
    <x v="0"/>
    <x v="1"/>
    <x v="3"/>
    <n v="70"/>
    <n v="8000"/>
    <x v="0"/>
  </r>
  <r>
    <n v="11"/>
    <x v="0"/>
    <n v="29"/>
    <s v="Doctor"/>
    <x v="0"/>
    <x v="0"/>
    <n v="30"/>
    <x v="1"/>
    <x v="1"/>
    <x v="3"/>
    <n v="70"/>
    <n v="8000"/>
    <x v="0"/>
  </r>
  <r>
    <n v="12"/>
    <x v="0"/>
    <n v="29"/>
    <s v="Doctor"/>
    <x v="4"/>
    <x v="2"/>
    <n v="75"/>
    <x v="0"/>
    <x v="1"/>
    <x v="3"/>
    <n v="70"/>
    <n v="8000"/>
    <x v="0"/>
  </r>
  <r>
    <n v="13"/>
    <x v="0"/>
    <n v="29"/>
    <s v="Doctor"/>
    <x v="0"/>
    <x v="0"/>
    <n v="30"/>
    <x v="1"/>
    <x v="1"/>
    <x v="3"/>
    <n v="70"/>
    <n v="8000"/>
    <x v="0"/>
  </r>
  <r>
    <n v="14"/>
    <x v="0"/>
    <n v="29"/>
    <s v="Doctor"/>
    <x v="5"/>
    <x v="0"/>
    <n v="30"/>
    <x v="1"/>
    <x v="1"/>
    <x v="3"/>
    <n v="70"/>
    <n v="8000"/>
    <x v="0"/>
  </r>
  <r>
    <n v="15"/>
    <x v="0"/>
    <n v="29"/>
    <s v="Doctor"/>
    <x v="5"/>
    <x v="0"/>
    <n v="30"/>
    <x v="1"/>
    <x v="1"/>
    <x v="3"/>
    <n v="70"/>
    <n v="8000"/>
    <x v="0"/>
  </r>
  <r>
    <n v="16"/>
    <x v="0"/>
    <n v="29"/>
    <s v="Doctor"/>
    <x v="5"/>
    <x v="0"/>
    <n v="30"/>
    <x v="1"/>
    <x v="1"/>
    <x v="3"/>
    <n v="70"/>
    <n v="8000"/>
    <x v="0"/>
  </r>
  <r>
    <n v="17"/>
    <x v="1"/>
    <n v="29"/>
    <s v="Nurse"/>
    <x v="6"/>
    <x v="3"/>
    <n v="40"/>
    <x v="2"/>
    <x v="1"/>
    <x v="4"/>
    <n v="80"/>
    <n v="4000"/>
    <x v="1"/>
  </r>
  <r>
    <n v="18"/>
    <x v="0"/>
    <n v="29"/>
    <s v="Doctor"/>
    <x v="5"/>
    <x v="0"/>
    <n v="30"/>
    <x v="1"/>
    <x v="1"/>
    <x v="3"/>
    <n v="70"/>
    <n v="8000"/>
    <x v="1"/>
  </r>
  <r>
    <n v="19"/>
    <x v="1"/>
    <n v="29"/>
    <s v="Nurse"/>
    <x v="6"/>
    <x v="3"/>
    <n v="40"/>
    <x v="2"/>
    <x v="1"/>
    <x v="4"/>
    <n v="80"/>
    <n v="4000"/>
    <x v="2"/>
  </r>
  <r>
    <n v="20"/>
    <x v="0"/>
    <n v="30"/>
    <s v="Doctor"/>
    <x v="7"/>
    <x v="2"/>
    <n v="75"/>
    <x v="0"/>
    <x v="1"/>
    <x v="3"/>
    <n v="70"/>
    <n v="8000"/>
    <x v="0"/>
  </r>
  <r>
    <n v="21"/>
    <x v="0"/>
    <n v="30"/>
    <s v="Doctor"/>
    <x v="8"/>
    <x v="2"/>
    <n v="75"/>
    <x v="0"/>
    <x v="1"/>
    <x v="3"/>
    <n v="70"/>
    <n v="8000"/>
    <x v="0"/>
  </r>
  <r>
    <n v="22"/>
    <x v="0"/>
    <n v="30"/>
    <s v="Doctor"/>
    <x v="8"/>
    <x v="2"/>
    <n v="75"/>
    <x v="0"/>
    <x v="1"/>
    <x v="3"/>
    <n v="70"/>
    <n v="8000"/>
    <x v="0"/>
  </r>
  <r>
    <n v="23"/>
    <x v="0"/>
    <n v="30"/>
    <s v="Doctor"/>
    <x v="8"/>
    <x v="2"/>
    <n v="75"/>
    <x v="0"/>
    <x v="1"/>
    <x v="3"/>
    <n v="70"/>
    <n v="8000"/>
    <x v="0"/>
  </r>
  <r>
    <n v="24"/>
    <x v="0"/>
    <n v="30"/>
    <s v="Doctor"/>
    <x v="8"/>
    <x v="2"/>
    <n v="75"/>
    <x v="0"/>
    <x v="1"/>
    <x v="3"/>
    <n v="70"/>
    <n v="8000"/>
    <x v="0"/>
  </r>
  <r>
    <n v="25"/>
    <x v="0"/>
    <n v="30"/>
    <s v="Doctor"/>
    <x v="4"/>
    <x v="2"/>
    <n v="75"/>
    <x v="0"/>
    <x v="1"/>
    <x v="3"/>
    <n v="70"/>
    <n v="8000"/>
    <x v="0"/>
  </r>
  <r>
    <n v="26"/>
    <x v="0"/>
    <n v="30"/>
    <s v="Doctor"/>
    <x v="9"/>
    <x v="2"/>
    <n v="75"/>
    <x v="0"/>
    <x v="1"/>
    <x v="3"/>
    <n v="70"/>
    <n v="8000"/>
    <x v="0"/>
  </r>
  <r>
    <n v="27"/>
    <x v="0"/>
    <n v="30"/>
    <s v="Doctor"/>
    <x v="4"/>
    <x v="2"/>
    <n v="75"/>
    <x v="0"/>
    <x v="1"/>
    <x v="3"/>
    <n v="70"/>
    <n v="8000"/>
    <x v="0"/>
  </r>
  <r>
    <n v="28"/>
    <x v="0"/>
    <n v="30"/>
    <s v="Doctor"/>
    <x v="9"/>
    <x v="2"/>
    <n v="75"/>
    <x v="0"/>
    <x v="1"/>
    <x v="3"/>
    <n v="70"/>
    <n v="8000"/>
    <x v="0"/>
  </r>
  <r>
    <n v="29"/>
    <x v="0"/>
    <n v="30"/>
    <s v="Doctor"/>
    <x v="9"/>
    <x v="2"/>
    <n v="75"/>
    <x v="0"/>
    <x v="1"/>
    <x v="3"/>
    <n v="70"/>
    <n v="8000"/>
    <x v="0"/>
  </r>
  <r>
    <n v="30"/>
    <x v="0"/>
    <n v="30"/>
    <s v="Doctor"/>
    <x v="9"/>
    <x v="2"/>
    <n v="75"/>
    <x v="0"/>
    <x v="1"/>
    <x v="3"/>
    <n v="70"/>
    <n v="8000"/>
    <x v="0"/>
  </r>
  <r>
    <n v="31"/>
    <x v="1"/>
    <n v="30"/>
    <s v="Nurse"/>
    <x v="10"/>
    <x v="3"/>
    <n v="35"/>
    <x v="2"/>
    <x v="1"/>
    <x v="5"/>
    <n v="78"/>
    <n v="4100"/>
    <x v="1"/>
  </r>
  <r>
    <n v="32"/>
    <x v="1"/>
    <n v="30"/>
    <s v="Nurse"/>
    <x v="10"/>
    <x v="3"/>
    <n v="35"/>
    <x v="2"/>
    <x v="1"/>
    <x v="5"/>
    <n v="78"/>
    <n v="4100"/>
    <x v="2"/>
  </r>
  <r>
    <n v="33"/>
    <x v="1"/>
    <n v="31"/>
    <s v="Nurse"/>
    <x v="9"/>
    <x v="4"/>
    <n v="75"/>
    <x v="3"/>
    <x v="1"/>
    <x v="6"/>
    <n v="69"/>
    <n v="6800"/>
    <x v="0"/>
  </r>
  <r>
    <n v="34"/>
    <x v="0"/>
    <n v="31"/>
    <s v="Doctor"/>
    <x v="0"/>
    <x v="0"/>
    <n v="30"/>
    <x v="1"/>
    <x v="1"/>
    <x v="1"/>
    <n v="72"/>
    <n v="5000"/>
    <x v="0"/>
  </r>
  <r>
    <n v="35"/>
    <x v="0"/>
    <n v="31"/>
    <s v="Doctor"/>
    <x v="8"/>
    <x v="2"/>
    <n v="75"/>
    <x v="0"/>
    <x v="1"/>
    <x v="3"/>
    <n v="70"/>
    <n v="8000"/>
    <x v="0"/>
  </r>
  <r>
    <n v="36"/>
    <x v="0"/>
    <n v="31"/>
    <s v="Doctor"/>
    <x v="0"/>
    <x v="0"/>
    <n v="30"/>
    <x v="1"/>
    <x v="1"/>
    <x v="1"/>
    <n v="72"/>
    <n v="5000"/>
    <x v="0"/>
  </r>
  <r>
    <n v="37"/>
    <x v="0"/>
    <n v="31"/>
    <s v="Doctor"/>
    <x v="0"/>
    <x v="0"/>
    <n v="30"/>
    <x v="1"/>
    <x v="1"/>
    <x v="1"/>
    <n v="72"/>
    <n v="5000"/>
    <x v="0"/>
  </r>
  <r>
    <n v="38"/>
    <x v="0"/>
    <n v="31"/>
    <s v="Doctor"/>
    <x v="7"/>
    <x v="2"/>
    <n v="75"/>
    <x v="0"/>
    <x v="1"/>
    <x v="3"/>
    <n v="70"/>
    <n v="8000"/>
    <x v="0"/>
  </r>
  <r>
    <n v="39"/>
    <x v="0"/>
    <n v="31"/>
    <s v="Doctor"/>
    <x v="7"/>
    <x v="2"/>
    <n v="75"/>
    <x v="0"/>
    <x v="1"/>
    <x v="3"/>
    <n v="70"/>
    <n v="8000"/>
    <x v="0"/>
  </r>
  <r>
    <n v="40"/>
    <x v="0"/>
    <n v="31"/>
    <s v="Doctor"/>
    <x v="7"/>
    <x v="2"/>
    <n v="75"/>
    <x v="0"/>
    <x v="1"/>
    <x v="3"/>
    <n v="70"/>
    <n v="8000"/>
    <x v="0"/>
  </r>
  <r>
    <n v="41"/>
    <x v="0"/>
    <n v="31"/>
    <s v="Doctor"/>
    <x v="8"/>
    <x v="2"/>
    <n v="75"/>
    <x v="0"/>
    <x v="1"/>
    <x v="3"/>
    <n v="70"/>
    <n v="8000"/>
    <x v="0"/>
  </r>
  <r>
    <n v="42"/>
    <x v="0"/>
    <n v="31"/>
    <s v="Doctor"/>
    <x v="8"/>
    <x v="2"/>
    <n v="75"/>
    <x v="0"/>
    <x v="1"/>
    <x v="3"/>
    <n v="70"/>
    <n v="8000"/>
    <x v="0"/>
  </r>
  <r>
    <n v="43"/>
    <x v="0"/>
    <n v="31"/>
    <s v="Doctor"/>
    <x v="8"/>
    <x v="2"/>
    <n v="75"/>
    <x v="0"/>
    <x v="1"/>
    <x v="3"/>
    <n v="70"/>
    <n v="8000"/>
    <x v="0"/>
  </r>
  <r>
    <n v="44"/>
    <x v="0"/>
    <n v="31"/>
    <s v="Doctor"/>
    <x v="4"/>
    <x v="2"/>
    <n v="75"/>
    <x v="0"/>
    <x v="1"/>
    <x v="3"/>
    <n v="70"/>
    <n v="8000"/>
    <x v="0"/>
  </r>
  <r>
    <n v="45"/>
    <x v="0"/>
    <n v="31"/>
    <s v="Doctor"/>
    <x v="8"/>
    <x v="2"/>
    <n v="75"/>
    <x v="0"/>
    <x v="1"/>
    <x v="3"/>
    <n v="70"/>
    <n v="8000"/>
    <x v="0"/>
  </r>
  <r>
    <n v="46"/>
    <x v="0"/>
    <n v="31"/>
    <s v="Doctor"/>
    <x v="4"/>
    <x v="2"/>
    <n v="75"/>
    <x v="0"/>
    <x v="1"/>
    <x v="3"/>
    <n v="70"/>
    <n v="8000"/>
    <x v="0"/>
  </r>
  <r>
    <n v="47"/>
    <x v="0"/>
    <n v="31"/>
    <s v="Doctor"/>
    <x v="8"/>
    <x v="2"/>
    <n v="75"/>
    <x v="0"/>
    <x v="1"/>
    <x v="3"/>
    <n v="70"/>
    <n v="8000"/>
    <x v="0"/>
  </r>
  <r>
    <n v="48"/>
    <x v="0"/>
    <n v="31"/>
    <s v="Doctor"/>
    <x v="4"/>
    <x v="2"/>
    <n v="75"/>
    <x v="0"/>
    <x v="1"/>
    <x v="3"/>
    <n v="70"/>
    <n v="8000"/>
    <x v="0"/>
  </r>
  <r>
    <n v="49"/>
    <x v="0"/>
    <n v="31"/>
    <s v="Doctor"/>
    <x v="8"/>
    <x v="2"/>
    <n v="75"/>
    <x v="0"/>
    <x v="1"/>
    <x v="3"/>
    <n v="70"/>
    <n v="8000"/>
    <x v="0"/>
  </r>
  <r>
    <n v="50"/>
    <x v="0"/>
    <n v="31"/>
    <s v="Doctor"/>
    <x v="8"/>
    <x v="2"/>
    <n v="75"/>
    <x v="0"/>
    <x v="1"/>
    <x v="3"/>
    <n v="70"/>
    <n v="8000"/>
    <x v="1"/>
  </r>
  <r>
    <n v="51"/>
    <x v="0"/>
    <n v="32"/>
    <s v="Engineer"/>
    <x v="11"/>
    <x v="4"/>
    <n v="45"/>
    <x v="4"/>
    <x v="1"/>
    <x v="3"/>
    <n v="70"/>
    <n v="8000"/>
    <x v="0"/>
  </r>
  <r>
    <n v="52"/>
    <x v="0"/>
    <n v="32"/>
    <s v="Engineer"/>
    <x v="11"/>
    <x v="4"/>
    <n v="45"/>
    <x v="4"/>
    <x v="1"/>
    <x v="3"/>
    <n v="70"/>
    <n v="8000"/>
    <x v="0"/>
  </r>
  <r>
    <n v="53"/>
    <x v="0"/>
    <n v="32"/>
    <s v="Doctor"/>
    <x v="5"/>
    <x v="0"/>
    <n v="30"/>
    <x v="1"/>
    <x v="1"/>
    <x v="1"/>
    <n v="72"/>
    <n v="5000"/>
    <x v="0"/>
  </r>
  <r>
    <n v="54"/>
    <x v="0"/>
    <n v="32"/>
    <s v="Doctor"/>
    <x v="7"/>
    <x v="2"/>
    <n v="75"/>
    <x v="0"/>
    <x v="1"/>
    <x v="3"/>
    <n v="70"/>
    <n v="8000"/>
    <x v="0"/>
  </r>
  <r>
    <n v="55"/>
    <x v="0"/>
    <n v="32"/>
    <s v="Doctor"/>
    <x v="5"/>
    <x v="0"/>
    <n v="30"/>
    <x v="1"/>
    <x v="1"/>
    <x v="1"/>
    <n v="72"/>
    <n v="5000"/>
    <x v="0"/>
  </r>
  <r>
    <n v="56"/>
    <x v="0"/>
    <n v="32"/>
    <s v="Doctor"/>
    <x v="5"/>
    <x v="0"/>
    <n v="30"/>
    <x v="1"/>
    <x v="1"/>
    <x v="1"/>
    <n v="72"/>
    <n v="5000"/>
    <x v="0"/>
  </r>
  <r>
    <n v="57"/>
    <x v="0"/>
    <n v="32"/>
    <s v="Doctor"/>
    <x v="8"/>
    <x v="2"/>
    <n v="75"/>
    <x v="0"/>
    <x v="1"/>
    <x v="3"/>
    <n v="70"/>
    <n v="8000"/>
    <x v="0"/>
  </r>
  <r>
    <n v="58"/>
    <x v="0"/>
    <n v="32"/>
    <s v="Doctor"/>
    <x v="5"/>
    <x v="0"/>
    <n v="30"/>
    <x v="1"/>
    <x v="1"/>
    <x v="1"/>
    <n v="72"/>
    <n v="5000"/>
    <x v="0"/>
  </r>
  <r>
    <n v="59"/>
    <x v="0"/>
    <n v="32"/>
    <s v="Doctor"/>
    <x v="5"/>
    <x v="0"/>
    <n v="30"/>
    <x v="1"/>
    <x v="1"/>
    <x v="1"/>
    <n v="72"/>
    <n v="5000"/>
    <x v="0"/>
  </r>
  <r>
    <n v="60"/>
    <x v="0"/>
    <n v="32"/>
    <s v="Doctor"/>
    <x v="8"/>
    <x v="2"/>
    <n v="75"/>
    <x v="0"/>
    <x v="1"/>
    <x v="3"/>
    <n v="70"/>
    <n v="8000"/>
    <x v="0"/>
  </r>
  <r>
    <n v="61"/>
    <x v="0"/>
    <n v="32"/>
    <s v="Doctor"/>
    <x v="5"/>
    <x v="0"/>
    <n v="30"/>
    <x v="1"/>
    <x v="1"/>
    <x v="1"/>
    <n v="72"/>
    <n v="5000"/>
    <x v="0"/>
  </r>
  <r>
    <n v="62"/>
    <x v="0"/>
    <n v="32"/>
    <s v="Doctor"/>
    <x v="5"/>
    <x v="0"/>
    <n v="30"/>
    <x v="1"/>
    <x v="1"/>
    <x v="1"/>
    <n v="72"/>
    <n v="5000"/>
    <x v="0"/>
  </r>
  <r>
    <n v="63"/>
    <x v="0"/>
    <n v="32"/>
    <s v="Doctor"/>
    <x v="1"/>
    <x v="0"/>
    <n v="30"/>
    <x v="1"/>
    <x v="1"/>
    <x v="1"/>
    <n v="72"/>
    <n v="5000"/>
    <x v="0"/>
  </r>
  <r>
    <n v="64"/>
    <x v="0"/>
    <n v="32"/>
    <s v="Doctor"/>
    <x v="1"/>
    <x v="0"/>
    <n v="30"/>
    <x v="1"/>
    <x v="1"/>
    <x v="1"/>
    <n v="72"/>
    <n v="5000"/>
    <x v="0"/>
  </r>
  <r>
    <n v="65"/>
    <x v="0"/>
    <n v="32"/>
    <s v="Doctor"/>
    <x v="1"/>
    <x v="0"/>
    <n v="30"/>
    <x v="1"/>
    <x v="1"/>
    <x v="1"/>
    <n v="72"/>
    <n v="5000"/>
    <x v="0"/>
  </r>
  <r>
    <n v="66"/>
    <x v="0"/>
    <n v="32"/>
    <s v="Doctor"/>
    <x v="1"/>
    <x v="0"/>
    <n v="30"/>
    <x v="1"/>
    <x v="1"/>
    <x v="1"/>
    <n v="72"/>
    <n v="5000"/>
    <x v="0"/>
  </r>
  <r>
    <n v="67"/>
    <x v="0"/>
    <n v="32"/>
    <s v="Accountant"/>
    <x v="12"/>
    <x v="4"/>
    <n v="50"/>
    <x v="0"/>
    <x v="1"/>
    <x v="7"/>
    <n v="68"/>
    <n v="7000"/>
    <x v="0"/>
  </r>
  <r>
    <n v="68"/>
    <x v="0"/>
    <n v="33"/>
    <s v="Doctor"/>
    <x v="5"/>
    <x v="0"/>
    <n v="30"/>
    <x v="1"/>
    <x v="1"/>
    <x v="1"/>
    <n v="72"/>
    <n v="5000"/>
    <x v="2"/>
  </r>
  <r>
    <n v="69"/>
    <x v="1"/>
    <n v="33"/>
    <s v="Scientist"/>
    <x v="1"/>
    <x v="0"/>
    <n v="50"/>
    <x v="0"/>
    <x v="0"/>
    <x v="8"/>
    <n v="76"/>
    <n v="5500"/>
    <x v="0"/>
  </r>
  <r>
    <n v="70"/>
    <x v="1"/>
    <n v="33"/>
    <s v="Scientist"/>
    <x v="1"/>
    <x v="0"/>
    <n v="50"/>
    <x v="0"/>
    <x v="0"/>
    <x v="8"/>
    <n v="76"/>
    <n v="5500"/>
    <x v="0"/>
  </r>
  <r>
    <n v="71"/>
    <x v="0"/>
    <n v="33"/>
    <s v="Doctor"/>
    <x v="0"/>
    <x v="0"/>
    <n v="30"/>
    <x v="1"/>
    <x v="1"/>
    <x v="1"/>
    <n v="72"/>
    <n v="5000"/>
    <x v="0"/>
  </r>
  <r>
    <n v="72"/>
    <x v="0"/>
    <n v="33"/>
    <s v="Doctor"/>
    <x v="0"/>
    <x v="0"/>
    <n v="30"/>
    <x v="1"/>
    <x v="1"/>
    <x v="1"/>
    <n v="72"/>
    <n v="5000"/>
    <x v="0"/>
  </r>
  <r>
    <n v="73"/>
    <x v="0"/>
    <n v="33"/>
    <s v="Doctor"/>
    <x v="0"/>
    <x v="0"/>
    <n v="30"/>
    <x v="1"/>
    <x v="1"/>
    <x v="1"/>
    <n v="72"/>
    <n v="5000"/>
    <x v="0"/>
  </r>
  <r>
    <n v="74"/>
    <x v="0"/>
    <n v="33"/>
    <s v="Doctor"/>
    <x v="0"/>
    <x v="0"/>
    <n v="30"/>
    <x v="1"/>
    <x v="1"/>
    <x v="1"/>
    <n v="72"/>
    <n v="5000"/>
    <x v="0"/>
  </r>
  <r>
    <n v="75"/>
    <x v="0"/>
    <n v="33"/>
    <s v="Doctor"/>
    <x v="5"/>
    <x v="0"/>
    <n v="30"/>
    <x v="1"/>
    <x v="1"/>
    <x v="1"/>
    <n v="72"/>
    <n v="5000"/>
    <x v="0"/>
  </r>
  <r>
    <n v="76"/>
    <x v="0"/>
    <n v="33"/>
    <s v="Doctor"/>
    <x v="5"/>
    <x v="0"/>
    <n v="30"/>
    <x v="1"/>
    <x v="1"/>
    <x v="1"/>
    <n v="72"/>
    <n v="5000"/>
    <x v="0"/>
  </r>
  <r>
    <n v="77"/>
    <x v="0"/>
    <n v="33"/>
    <s v="Doctor"/>
    <x v="5"/>
    <x v="0"/>
    <n v="30"/>
    <x v="1"/>
    <x v="1"/>
    <x v="1"/>
    <n v="72"/>
    <n v="5000"/>
    <x v="0"/>
  </r>
  <r>
    <n v="78"/>
    <x v="0"/>
    <n v="33"/>
    <s v="Doctor"/>
    <x v="5"/>
    <x v="0"/>
    <n v="30"/>
    <x v="1"/>
    <x v="1"/>
    <x v="1"/>
    <n v="72"/>
    <n v="5000"/>
    <x v="0"/>
  </r>
  <r>
    <n v="79"/>
    <x v="0"/>
    <n v="33"/>
    <s v="Doctor"/>
    <x v="5"/>
    <x v="0"/>
    <n v="30"/>
    <x v="1"/>
    <x v="1"/>
    <x v="1"/>
    <n v="72"/>
    <n v="5000"/>
    <x v="0"/>
  </r>
  <r>
    <n v="80"/>
    <x v="0"/>
    <n v="33"/>
    <s v="Doctor"/>
    <x v="5"/>
    <x v="0"/>
    <n v="30"/>
    <x v="1"/>
    <x v="1"/>
    <x v="1"/>
    <n v="72"/>
    <n v="5000"/>
    <x v="0"/>
  </r>
  <r>
    <n v="81"/>
    <x v="1"/>
    <n v="34"/>
    <s v="Scientist"/>
    <x v="13"/>
    <x v="1"/>
    <n v="32"/>
    <x v="1"/>
    <x v="0"/>
    <x v="9"/>
    <n v="81"/>
    <n v="5200"/>
    <x v="1"/>
  </r>
  <r>
    <n v="82"/>
    <x v="1"/>
    <n v="34"/>
    <s v="Scientist"/>
    <x v="13"/>
    <x v="1"/>
    <n v="32"/>
    <x v="1"/>
    <x v="0"/>
    <x v="9"/>
    <n v="81"/>
    <n v="5200"/>
    <x v="1"/>
  </r>
  <r>
    <n v="83"/>
    <x v="0"/>
    <n v="35"/>
    <s v="Teacher"/>
    <x v="14"/>
    <x v="2"/>
    <n v="40"/>
    <x v="5"/>
    <x v="0"/>
    <x v="10"/>
    <n v="70"/>
    <n v="5600"/>
    <x v="0"/>
  </r>
  <r>
    <n v="84"/>
    <x v="0"/>
    <n v="35"/>
    <s v="Teacher"/>
    <x v="14"/>
    <x v="2"/>
    <n v="40"/>
    <x v="5"/>
    <x v="0"/>
    <x v="10"/>
    <n v="70"/>
    <n v="5600"/>
    <x v="0"/>
  </r>
  <r>
    <n v="85"/>
    <x v="0"/>
    <n v="35"/>
    <s v="Software Engineer"/>
    <x v="11"/>
    <x v="4"/>
    <n v="60"/>
    <x v="5"/>
    <x v="1"/>
    <x v="3"/>
    <n v="70"/>
    <n v="8000"/>
    <x v="0"/>
  </r>
  <r>
    <n v="86"/>
    <x v="1"/>
    <n v="35"/>
    <s v="Accountant"/>
    <x v="12"/>
    <x v="4"/>
    <n v="60"/>
    <x v="3"/>
    <x v="1"/>
    <x v="11"/>
    <n v="68"/>
    <n v="7000"/>
    <x v="0"/>
  </r>
  <r>
    <n v="87"/>
    <x v="0"/>
    <n v="35"/>
    <s v="Engineer"/>
    <x v="12"/>
    <x v="4"/>
    <n v="60"/>
    <x v="3"/>
    <x v="1"/>
    <x v="1"/>
    <n v="65"/>
    <n v="5000"/>
    <x v="0"/>
  </r>
  <r>
    <n v="88"/>
    <x v="0"/>
    <n v="35"/>
    <s v="Engineer"/>
    <x v="12"/>
    <x v="4"/>
    <n v="60"/>
    <x v="3"/>
    <x v="1"/>
    <x v="1"/>
    <n v="65"/>
    <n v="5000"/>
    <x v="0"/>
  </r>
  <r>
    <n v="89"/>
    <x v="0"/>
    <n v="35"/>
    <s v="Engineer"/>
    <x v="15"/>
    <x v="4"/>
    <n v="60"/>
    <x v="3"/>
    <x v="1"/>
    <x v="1"/>
    <n v="65"/>
    <n v="5000"/>
    <x v="0"/>
  </r>
  <r>
    <n v="90"/>
    <x v="0"/>
    <n v="35"/>
    <s v="Engineer"/>
    <x v="15"/>
    <x v="4"/>
    <n v="60"/>
    <x v="3"/>
    <x v="1"/>
    <x v="1"/>
    <n v="65"/>
    <n v="5000"/>
    <x v="0"/>
  </r>
  <r>
    <n v="91"/>
    <x v="0"/>
    <n v="35"/>
    <s v="Engineer"/>
    <x v="15"/>
    <x v="4"/>
    <n v="60"/>
    <x v="3"/>
    <x v="1"/>
    <x v="1"/>
    <n v="65"/>
    <n v="5000"/>
    <x v="0"/>
  </r>
  <r>
    <n v="92"/>
    <x v="0"/>
    <n v="35"/>
    <s v="Engineer"/>
    <x v="15"/>
    <x v="4"/>
    <n v="60"/>
    <x v="3"/>
    <x v="1"/>
    <x v="1"/>
    <n v="65"/>
    <n v="5000"/>
    <x v="0"/>
  </r>
  <r>
    <n v="93"/>
    <x v="0"/>
    <n v="35"/>
    <s v="Software Engineer"/>
    <x v="11"/>
    <x v="4"/>
    <n v="60"/>
    <x v="5"/>
    <x v="1"/>
    <x v="3"/>
    <n v="70"/>
    <n v="8000"/>
    <x v="0"/>
  </r>
  <r>
    <n v="94"/>
    <x v="0"/>
    <n v="35"/>
    <s v="Lawyer"/>
    <x v="16"/>
    <x v="2"/>
    <n v="60"/>
    <x v="5"/>
    <x v="2"/>
    <x v="12"/>
    <n v="84"/>
    <n v="3300"/>
    <x v="1"/>
  </r>
  <r>
    <n v="95"/>
    <x v="1"/>
    <n v="36"/>
    <s v="Accountant"/>
    <x v="12"/>
    <x v="4"/>
    <n v="60"/>
    <x v="3"/>
    <x v="1"/>
    <x v="11"/>
    <n v="68"/>
    <n v="7000"/>
    <x v="2"/>
  </r>
  <r>
    <n v="96"/>
    <x v="1"/>
    <n v="36"/>
    <s v="Accountant"/>
    <x v="17"/>
    <x v="4"/>
    <n v="60"/>
    <x v="3"/>
    <x v="1"/>
    <x v="11"/>
    <n v="68"/>
    <n v="7000"/>
    <x v="0"/>
  </r>
  <r>
    <n v="97"/>
    <x v="1"/>
    <n v="36"/>
    <s v="Accountant"/>
    <x v="12"/>
    <x v="4"/>
    <n v="60"/>
    <x v="3"/>
    <x v="1"/>
    <x v="11"/>
    <n v="68"/>
    <n v="7000"/>
    <x v="0"/>
  </r>
  <r>
    <n v="98"/>
    <x v="1"/>
    <n v="36"/>
    <s v="Accountant"/>
    <x v="17"/>
    <x v="4"/>
    <n v="60"/>
    <x v="3"/>
    <x v="1"/>
    <x v="11"/>
    <n v="68"/>
    <n v="7000"/>
    <x v="0"/>
  </r>
  <r>
    <n v="99"/>
    <x v="1"/>
    <n v="36"/>
    <s v="Teacher"/>
    <x v="17"/>
    <x v="4"/>
    <n v="60"/>
    <x v="3"/>
    <x v="1"/>
    <x v="11"/>
    <n v="68"/>
    <n v="7000"/>
    <x v="0"/>
  </r>
  <r>
    <n v="100"/>
    <x v="1"/>
    <n v="36"/>
    <s v="Teacher"/>
    <x v="17"/>
    <x v="4"/>
    <n v="60"/>
    <x v="3"/>
    <x v="1"/>
    <x v="11"/>
    <n v="68"/>
    <n v="7000"/>
    <x v="0"/>
  </r>
  <r>
    <n v="101"/>
    <x v="1"/>
    <n v="36"/>
    <s v="Teacher"/>
    <x v="12"/>
    <x v="4"/>
    <n v="60"/>
    <x v="3"/>
    <x v="1"/>
    <x v="11"/>
    <n v="68"/>
    <n v="7000"/>
    <x v="0"/>
  </r>
  <r>
    <n v="102"/>
    <x v="1"/>
    <n v="36"/>
    <s v="Teacher"/>
    <x v="12"/>
    <x v="4"/>
    <n v="60"/>
    <x v="3"/>
    <x v="1"/>
    <x v="11"/>
    <n v="68"/>
    <n v="7000"/>
    <x v="0"/>
  </r>
  <r>
    <n v="103"/>
    <x v="1"/>
    <n v="36"/>
    <s v="Teacher"/>
    <x v="12"/>
    <x v="4"/>
    <n v="60"/>
    <x v="3"/>
    <x v="1"/>
    <x v="11"/>
    <n v="68"/>
    <n v="7000"/>
    <x v="0"/>
  </r>
  <r>
    <n v="104"/>
    <x v="0"/>
    <n v="36"/>
    <s v="Teacher"/>
    <x v="18"/>
    <x v="3"/>
    <n v="35"/>
    <x v="2"/>
    <x v="0"/>
    <x v="13"/>
    <n v="74"/>
    <n v="4800"/>
    <x v="1"/>
  </r>
  <r>
    <n v="105"/>
    <x v="1"/>
    <n v="36"/>
    <s v="Teacher"/>
    <x v="12"/>
    <x v="4"/>
    <n v="60"/>
    <x v="3"/>
    <x v="1"/>
    <x v="11"/>
    <n v="68"/>
    <n v="7000"/>
    <x v="1"/>
  </r>
  <r>
    <n v="106"/>
    <x v="0"/>
    <n v="36"/>
    <s v="Teacher"/>
    <x v="18"/>
    <x v="3"/>
    <n v="35"/>
    <x v="2"/>
    <x v="0"/>
    <x v="13"/>
    <n v="74"/>
    <n v="4800"/>
    <x v="2"/>
  </r>
  <r>
    <n v="107"/>
    <x v="1"/>
    <n v="37"/>
    <s v="Nurse"/>
    <x v="0"/>
    <x v="0"/>
    <n v="42"/>
    <x v="0"/>
    <x v="0"/>
    <x v="0"/>
    <n v="77"/>
    <n v="4200"/>
    <x v="0"/>
  </r>
  <r>
    <n v="108"/>
    <x v="0"/>
    <n v="37"/>
    <s v="Engineer"/>
    <x v="4"/>
    <x v="4"/>
    <n v="70"/>
    <x v="3"/>
    <x v="1"/>
    <x v="3"/>
    <n v="68"/>
    <n v="7000"/>
    <x v="0"/>
  </r>
  <r>
    <n v="109"/>
    <x v="0"/>
    <n v="37"/>
    <s v="Engineer"/>
    <x v="4"/>
    <x v="4"/>
    <n v="70"/>
    <x v="3"/>
    <x v="1"/>
    <x v="3"/>
    <n v="68"/>
    <n v="7000"/>
    <x v="0"/>
  </r>
  <r>
    <n v="110"/>
    <x v="0"/>
    <n v="37"/>
    <s v="Lawyer"/>
    <x v="16"/>
    <x v="4"/>
    <n v="60"/>
    <x v="5"/>
    <x v="1"/>
    <x v="14"/>
    <n v="68"/>
    <n v="8000"/>
    <x v="0"/>
  </r>
  <r>
    <n v="111"/>
    <x v="1"/>
    <n v="37"/>
    <s v="Accountant"/>
    <x v="12"/>
    <x v="4"/>
    <n v="60"/>
    <x v="3"/>
    <x v="1"/>
    <x v="11"/>
    <n v="68"/>
    <n v="7000"/>
    <x v="0"/>
  </r>
  <r>
    <n v="112"/>
    <x v="0"/>
    <n v="37"/>
    <s v="Lawyer"/>
    <x v="16"/>
    <x v="4"/>
    <n v="60"/>
    <x v="5"/>
    <x v="1"/>
    <x v="14"/>
    <n v="68"/>
    <n v="8000"/>
    <x v="0"/>
  </r>
  <r>
    <n v="113"/>
    <x v="1"/>
    <n v="37"/>
    <s v="Accountant"/>
    <x v="12"/>
    <x v="4"/>
    <n v="60"/>
    <x v="3"/>
    <x v="1"/>
    <x v="11"/>
    <n v="68"/>
    <n v="7000"/>
    <x v="0"/>
  </r>
  <r>
    <n v="114"/>
    <x v="0"/>
    <n v="37"/>
    <s v="Lawyer"/>
    <x v="16"/>
    <x v="4"/>
    <n v="60"/>
    <x v="5"/>
    <x v="1"/>
    <x v="14"/>
    <n v="68"/>
    <n v="8000"/>
    <x v="0"/>
  </r>
  <r>
    <n v="115"/>
    <x v="1"/>
    <n v="37"/>
    <s v="Accountant"/>
    <x v="12"/>
    <x v="4"/>
    <n v="60"/>
    <x v="3"/>
    <x v="1"/>
    <x v="11"/>
    <n v="68"/>
    <n v="7000"/>
    <x v="0"/>
  </r>
  <r>
    <n v="116"/>
    <x v="1"/>
    <n v="37"/>
    <s v="Accountant"/>
    <x v="12"/>
    <x v="4"/>
    <n v="60"/>
    <x v="3"/>
    <x v="1"/>
    <x v="11"/>
    <n v="68"/>
    <n v="7000"/>
    <x v="0"/>
  </r>
  <r>
    <n v="117"/>
    <x v="1"/>
    <n v="37"/>
    <s v="Accountant"/>
    <x v="12"/>
    <x v="4"/>
    <n v="60"/>
    <x v="3"/>
    <x v="1"/>
    <x v="11"/>
    <n v="68"/>
    <n v="7000"/>
    <x v="0"/>
  </r>
  <r>
    <n v="118"/>
    <x v="1"/>
    <n v="37"/>
    <s v="Accountant"/>
    <x v="12"/>
    <x v="4"/>
    <n v="60"/>
    <x v="3"/>
    <x v="1"/>
    <x v="11"/>
    <n v="68"/>
    <n v="7000"/>
    <x v="0"/>
  </r>
  <r>
    <n v="119"/>
    <x v="1"/>
    <n v="37"/>
    <s v="Accountant"/>
    <x v="12"/>
    <x v="4"/>
    <n v="60"/>
    <x v="3"/>
    <x v="1"/>
    <x v="11"/>
    <n v="68"/>
    <n v="7000"/>
    <x v="0"/>
  </r>
  <r>
    <n v="120"/>
    <x v="1"/>
    <n v="37"/>
    <s v="Accountant"/>
    <x v="12"/>
    <x v="4"/>
    <n v="60"/>
    <x v="3"/>
    <x v="1"/>
    <x v="11"/>
    <n v="68"/>
    <n v="7000"/>
    <x v="0"/>
  </r>
  <r>
    <n v="121"/>
    <x v="1"/>
    <n v="37"/>
    <s v="Accountant"/>
    <x v="12"/>
    <x v="4"/>
    <n v="60"/>
    <x v="3"/>
    <x v="1"/>
    <x v="11"/>
    <n v="68"/>
    <n v="7000"/>
    <x v="0"/>
  </r>
  <r>
    <n v="122"/>
    <x v="1"/>
    <n v="37"/>
    <s v="Accountant"/>
    <x v="12"/>
    <x v="4"/>
    <n v="60"/>
    <x v="3"/>
    <x v="1"/>
    <x v="11"/>
    <n v="68"/>
    <n v="7000"/>
    <x v="0"/>
  </r>
  <r>
    <n v="123"/>
    <x v="1"/>
    <n v="37"/>
    <s v="Accountant"/>
    <x v="12"/>
    <x v="4"/>
    <n v="60"/>
    <x v="3"/>
    <x v="1"/>
    <x v="11"/>
    <n v="68"/>
    <n v="7000"/>
    <x v="0"/>
  </r>
  <r>
    <n v="124"/>
    <x v="1"/>
    <n v="37"/>
    <s v="Accountant"/>
    <x v="12"/>
    <x v="4"/>
    <n v="60"/>
    <x v="3"/>
    <x v="1"/>
    <x v="11"/>
    <n v="68"/>
    <n v="7000"/>
    <x v="0"/>
  </r>
  <r>
    <n v="125"/>
    <x v="1"/>
    <n v="37"/>
    <s v="Accountant"/>
    <x v="12"/>
    <x v="4"/>
    <n v="60"/>
    <x v="3"/>
    <x v="1"/>
    <x v="11"/>
    <n v="68"/>
    <n v="7000"/>
    <x v="0"/>
  </r>
  <r>
    <n v="126"/>
    <x v="1"/>
    <n v="37"/>
    <s v="Nurse"/>
    <x v="11"/>
    <x v="4"/>
    <n v="60"/>
    <x v="3"/>
    <x v="1"/>
    <x v="3"/>
    <n v="70"/>
    <n v="8000"/>
    <x v="0"/>
  </r>
  <r>
    <n v="127"/>
    <x v="0"/>
    <n v="38"/>
    <s v="Lawyer"/>
    <x v="15"/>
    <x v="4"/>
    <n v="60"/>
    <x v="5"/>
    <x v="1"/>
    <x v="14"/>
    <n v="68"/>
    <n v="8000"/>
    <x v="0"/>
  </r>
  <r>
    <n v="128"/>
    <x v="1"/>
    <n v="38"/>
    <s v="Accountant"/>
    <x v="17"/>
    <x v="4"/>
    <n v="60"/>
    <x v="3"/>
    <x v="1"/>
    <x v="11"/>
    <n v="68"/>
    <n v="7000"/>
    <x v="0"/>
  </r>
  <r>
    <n v="129"/>
    <x v="0"/>
    <n v="38"/>
    <s v="Lawyer"/>
    <x v="15"/>
    <x v="4"/>
    <n v="60"/>
    <x v="5"/>
    <x v="1"/>
    <x v="14"/>
    <n v="68"/>
    <n v="8000"/>
    <x v="0"/>
  </r>
  <r>
    <n v="130"/>
    <x v="0"/>
    <n v="38"/>
    <s v="Lawyer"/>
    <x v="15"/>
    <x v="4"/>
    <n v="60"/>
    <x v="5"/>
    <x v="1"/>
    <x v="14"/>
    <n v="68"/>
    <n v="8000"/>
    <x v="0"/>
  </r>
  <r>
    <n v="131"/>
    <x v="1"/>
    <n v="38"/>
    <s v="Accountant"/>
    <x v="17"/>
    <x v="4"/>
    <n v="60"/>
    <x v="3"/>
    <x v="1"/>
    <x v="11"/>
    <n v="68"/>
    <n v="7000"/>
    <x v="0"/>
  </r>
  <r>
    <n v="132"/>
    <x v="0"/>
    <n v="38"/>
    <s v="Lawyer"/>
    <x v="15"/>
    <x v="4"/>
    <n v="60"/>
    <x v="5"/>
    <x v="1"/>
    <x v="14"/>
    <n v="68"/>
    <n v="8000"/>
    <x v="0"/>
  </r>
  <r>
    <n v="133"/>
    <x v="0"/>
    <n v="38"/>
    <s v="Lawyer"/>
    <x v="15"/>
    <x v="4"/>
    <n v="60"/>
    <x v="5"/>
    <x v="1"/>
    <x v="14"/>
    <n v="68"/>
    <n v="8000"/>
    <x v="0"/>
  </r>
  <r>
    <n v="134"/>
    <x v="1"/>
    <n v="38"/>
    <s v="Accountant"/>
    <x v="17"/>
    <x v="4"/>
    <n v="60"/>
    <x v="3"/>
    <x v="1"/>
    <x v="11"/>
    <n v="68"/>
    <n v="7000"/>
    <x v="0"/>
  </r>
  <r>
    <n v="135"/>
    <x v="0"/>
    <n v="38"/>
    <s v="Lawyer"/>
    <x v="15"/>
    <x v="4"/>
    <n v="60"/>
    <x v="5"/>
    <x v="1"/>
    <x v="14"/>
    <n v="68"/>
    <n v="8000"/>
    <x v="0"/>
  </r>
  <r>
    <n v="136"/>
    <x v="0"/>
    <n v="38"/>
    <s v="Lawyer"/>
    <x v="15"/>
    <x v="4"/>
    <n v="60"/>
    <x v="5"/>
    <x v="1"/>
    <x v="14"/>
    <n v="68"/>
    <n v="8000"/>
    <x v="0"/>
  </r>
  <r>
    <n v="137"/>
    <x v="1"/>
    <n v="38"/>
    <s v="Accountant"/>
    <x v="17"/>
    <x v="4"/>
    <n v="60"/>
    <x v="3"/>
    <x v="1"/>
    <x v="11"/>
    <n v="68"/>
    <n v="7000"/>
    <x v="0"/>
  </r>
  <r>
    <n v="138"/>
    <x v="0"/>
    <n v="38"/>
    <s v="Lawyer"/>
    <x v="17"/>
    <x v="4"/>
    <n v="60"/>
    <x v="5"/>
    <x v="1"/>
    <x v="14"/>
    <n v="68"/>
    <n v="8000"/>
    <x v="0"/>
  </r>
  <r>
    <n v="139"/>
    <x v="1"/>
    <n v="38"/>
    <s v="Accountant"/>
    <x v="17"/>
    <x v="4"/>
    <n v="60"/>
    <x v="3"/>
    <x v="1"/>
    <x v="11"/>
    <n v="68"/>
    <n v="7000"/>
    <x v="0"/>
  </r>
  <r>
    <n v="140"/>
    <x v="0"/>
    <n v="38"/>
    <s v="Lawyer"/>
    <x v="17"/>
    <x v="4"/>
    <n v="60"/>
    <x v="5"/>
    <x v="1"/>
    <x v="14"/>
    <n v="68"/>
    <n v="8000"/>
    <x v="0"/>
  </r>
  <r>
    <n v="141"/>
    <x v="1"/>
    <n v="38"/>
    <s v="Accountant"/>
    <x v="17"/>
    <x v="4"/>
    <n v="60"/>
    <x v="3"/>
    <x v="1"/>
    <x v="11"/>
    <n v="68"/>
    <n v="7000"/>
    <x v="0"/>
  </r>
  <r>
    <n v="142"/>
    <x v="0"/>
    <n v="38"/>
    <s v="Lawyer"/>
    <x v="17"/>
    <x v="4"/>
    <n v="60"/>
    <x v="5"/>
    <x v="1"/>
    <x v="14"/>
    <n v="68"/>
    <n v="8000"/>
    <x v="0"/>
  </r>
  <r>
    <n v="143"/>
    <x v="1"/>
    <n v="38"/>
    <s v="Accountant"/>
    <x v="17"/>
    <x v="4"/>
    <n v="60"/>
    <x v="3"/>
    <x v="1"/>
    <x v="11"/>
    <n v="68"/>
    <n v="7000"/>
    <x v="0"/>
  </r>
  <r>
    <n v="144"/>
    <x v="1"/>
    <n v="38"/>
    <s v="Accountant"/>
    <x v="17"/>
    <x v="4"/>
    <n v="60"/>
    <x v="3"/>
    <x v="1"/>
    <x v="11"/>
    <n v="68"/>
    <n v="7000"/>
    <x v="0"/>
  </r>
  <r>
    <n v="145"/>
    <x v="0"/>
    <n v="38"/>
    <s v="Lawyer"/>
    <x v="17"/>
    <x v="4"/>
    <n v="60"/>
    <x v="5"/>
    <x v="1"/>
    <x v="14"/>
    <n v="68"/>
    <n v="8000"/>
    <x v="1"/>
  </r>
  <r>
    <n v="146"/>
    <x v="1"/>
    <n v="38"/>
    <s v="Lawyer"/>
    <x v="16"/>
    <x v="2"/>
    <n v="60"/>
    <x v="5"/>
    <x v="2"/>
    <x v="12"/>
    <n v="84"/>
    <n v="3300"/>
    <x v="1"/>
  </r>
  <r>
    <n v="147"/>
    <x v="0"/>
    <n v="39"/>
    <s v="Lawyer"/>
    <x v="12"/>
    <x v="4"/>
    <n v="60"/>
    <x v="5"/>
    <x v="1"/>
    <x v="14"/>
    <n v="68"/>
    <n v="8000"/>
    <x v="2"/>
  </r>
  <r>
    <n v="148"/>
    <x v="0"/>
    <n v="39"/>
    <s v="Engineer"/>
    <x v="6"/>
    <x v="3"/>
    <n v="40"/>
    <x v="2"/>
    <x v="0"/>
    <x v="4"/>
    <n v="80"/>
    <n v="4000"/>
    <x v="2"/>
  </r>
  <r>
    <n v="149"/>
    <x v="1"/>
    <n v="39"/>
    <s v="Lawyer"/>
    <x v="19"/>
    <x v="2"/>
    <n v="50"/>
    <x v="0"/>
    <x v="1"/>
    <x v="8"/>
    <n v="75"/>
    <n v="5500"/>
    <x v="0"/>
  </r>
  <r>
    <n v="150"/>
    <x v="1"/>
    <n v="39"/>
    <s v="Accountant"/>
    <x v="20"/>
    <x v="5"/>
    <n v="80"/>
    <x v="4"/>
    <x v="1"/>
    <x v="15"/>
    <n v="67"/>
    <n v="7500"/>
    <x v="0"/>
  </r>
  <r>
    <n v="151"/>
    <x v="1"/>
    <n v="39"/>
    <s v="Accountant"/>
    <x v="20"/>
    <x v="5"/>
    <n v="80"/>
    <x v="4"/>
    <x v="1"/>
    <x v="15"/>
    <n v="67"/>
    <n v="7500"/>
    <x v="0"/>
  </r>
  <r>
    <n v="152"/>
    <x v="0"/>
    <n v="39"/>
    <s v="Lawyer"/>
    <x v="12"/>
    <x v="4"/>
    <n v="60"/>
    <x v="5"/>
    <x v="1"/>
    <x v="14"/>
    <n v="68"/>
    <n v="8000"/>
    <x v="0"/>
  </r>
  <r>
    <n v="153"/>
    <x v="0"/>
    <n v="39"/>
    <s v="Lawyer"/>
    <x v="12"/>
    <x v="4"/>
    <n v="60"/>
    <x v="5"/>
    <x v="1"/>
    <x v="14"/>
    <n v="68"/>
    <n v="8000"/>
    <x v="0"/>
  </r>
  <r>
    <n v="154"/>
    <x v="0"/>
    <n v="39"/>
    <s v="Lawyer"/>
    <x v="12"/>
    <x v="4"/>
    <n v="60"/>
    <x v="5"/>
    <x v="1"/>
    <x v="14"/>
    <n v="68"/>
    <n v="8000"/>
    <x v="0"/>
  </r>
  <r>
    <n v="155"/>
    <x v="0"/>
    <n v="39"/>
    <s v="Lawyer"/>
    <x v="12"/>
    <x v="4"/>
    <n v="60"/>
    <x v="5"/>
    <x v="1"/>
    <x v="14"/>
    <n v="68"/>
    <n v="8000"/>
    <x v="0"/>
  </r>
  <r>
    <n v="156"/>
    <x v="0"/>
    <n v="39"/>
    <s v="Lawyer"/>
    <x v="12"/>
    <x v="4"/>
    <n v="60"/>
    <x v="5"/>
    <x v="1"/>
    <x v="14"/>
    <n v="68"/>
    <n v="8000"/>
    <x v="0"/>
  </r>
  <r>
    <n v="157"/>
    <x v="0"/>
    <n v="39"/>
    <s v="Lawyer"/>
    <x v="12"/>
    <x v="4"/>
    <n v="60"/>
    <x v="5"/>
    <x v="1"/>
    <x v="14"/>
    <n v="68"/>
    <n v="8000"/>
    <x v="0"/>
  </r>
  <r>
    <n v="158"/>
    <x v="0"/>
    <n v="39"/>
    <s v="Lawyer"/>
    <x v="12"/>
    <x v="4"/>
    <n v="60"/>
    <x v="5"/>
    <x v="1"/>
    <x v="14"/>
    <n v="68"/>
    <n v="8000"/>
    <x v="0"/>
  </r>
  <r>
    <n v="159"/>
    <x v="0"/>
    <n v="39"/>
    <s v="Lawyer"/>
    <x v="12"/>
    <x v="4"/>
    <n v="60"/>
    <x v="5"/>
    <x v="1"/>
    <x v="14"/>
    <n v="68"/>
    <n v="8000"/>
    <x v="0"/>
  </r>
  <r>
    <n v="160"/>
    <x v="0"/>
    <n v="39"/>
    <s v="Lawyer"/>
    <x v="12"/>
    <x v="4"/>
    <n v="60"/>
    <x v="5"/>
    <x v="1"/>
    <x v="14"/>
    <n v="68"/>
    <n v="8000"/>
    <x v="0"/>
  </r>
  <r>
    <n v="161"/>
    <x v="0"/>
    <n v="39"/>
    <s v="Lawyer"/>
    <x v="12"/>
    <x v="4"/>
    <n v="60"/>
    <x v="5"/>
    <x v="1"/>
    <x v="14"/>
    <n v="68"/>
    <n v="8000"/>
    <x v="0"/>
  </r>
  <r>
    <n v="162"/>
    <x v="1"/>
    <n v="40"/>
    <s v="Accountant"/>
    <x v="12"/>
    <x v="4"/>
    <n v="55"/>
    <x v="0"/>
    <x v="1"/>
    <x v="16"/>
    <n v="73"/>
    <n v="7300"/>
    <x v="0"/>
  </r>
  <r>
    <n v="163"/>
    <x v="1"/>
    <n v="40"/>
    <s v="Accountant"/>
    <x v="12"/>
    <x v="4"/>
    <n v="55"/>
    <x v="0"/>
    <x v="1"/>
    <x v="16"/>
    <n v="73"/>
    <n v="7300"/>
    <x v="0"/>
  </r>
  <r>
    <n v="164"/>
    <x v="0"/>
    <n v="40"/>
    <s v="Lawyer"/>
    <x v="9"/>
    <x v="4"/>
    <n v="90"/>
    <x v="5"/>
    <x v="1"/>
    <x v="14"/>
    <n v="68"/>
    <n v="8000"/>
    <x v="0"/>
  </r>
  <r>
    <n v="165"/>
    <x v="0"/>
    <n v="40"/>
    <s v="Lawyer"/>
    <x v="9"/>
    <x v="4"/>
    <n v="90"/>
    <x v="5"/>
    <x v="1"/>
    <x v="14"/>
    <n v="68"/>
    <n v="8000"/>
    <x v="0"/>
  </r>
  <r>
    <n v="166"/>
    <x v="0"/>
    <n v="41"/>
    <s v="Lawyer"/>
    <x v="7"/>
    <x v="4"/>
    <n v="90"/>
    <x v="5"/>
    <x v="1"/>
    <x v="14"/>
    <n v="70"/>
    <n v="8000"/>
    <x v="2"/>
  </r>
  <r>
    <n v="167"/>
    <x v="0"/>
    <n v="41"/>
    <s v="Engineer"/>
    <x v="15"/>
    <x v="4"/>
    <n v="70"/>
    <x v="0"/>
    <x v="1"/>
    <x v="17"/>
    <n v="72"/>
    <n v="6200"/>
    <x v="0"/>
  </r>
  <r>
    <n v="168"/>
    <x v="0"/>
    <n v="41"/>
    <s v="Lawyer"/>
    <x v="17"/>
    <x v="2"/>
    <n v="55"/>
    <x v="0"/>
    <x v="0"/>
    <x v="18"/>
    <n v="72"/>
    <n v="6000"/>
    <x v="0"/>
  </r>
  <r>
    <n v="169"/>
    <x v="0"/>
    <n v="41"/>
    <s v="Lawyer"/>
    <x v="17"/>
    <x v="2"/>
    <n v="55"/>
    <x v="0"/>
    <x v="0"/>
    <x v="18"/>
    <n v="72"/>
    <n v="6000"/>
    <x v="0"/>
  </r>
  <r>
    <n v="170"/>
    <x v="0"/>
    <n v="41"/>
    <s v="Lawyer"/>
    <x v="8"/>
    <x v="4"/>
    <n v="90"/>
    <x v="5"/>
    <x v="1"/>
    <x v="14"/>
    <n v="70"/>
    <n v="8000"/>
    <x v="0"/>
  </r>
  <r>
    <n v="171"/>
    <x v="0"/>
    <n v="41"/>
    <s v="Lawyer"/>
    <x v="8"/>
    <x v="4"/>
    <n v="90"/>
    <x v="5"/>
    <x v="1"/>
    <x v="14"/>
    <n v="70"/>
    <n v="8000"/>
    <x v="0"/>
  </r>
  <r>
    <n v="172"/>
    <x v="0"/>
    <n v="41"/>
    <s v="Lawyer"/>
    <x v="8"/>
    <x v="4"/>
    <n v="90"/>
    <x v="5"/>
    <x v="1"/>
    <x v="14"/>
    <n v="70"/>
    <n v="8000"/>
    <x v="0"/>
  </r>
  <r>
    <n v="173"/>
    <x v="0"/>
    <n v="41"/>
    <s v="Lawyer"/>
    <x v="8"/>
    <x v="4"/>
    <n v="90"/>
    <x v="5"/>
    <x v="1"/>
    <x v="14"/>
    <n v="70"/>
    <n v="8000"/>
    <x v="0"/>
  </r>
  <r>
    <n v="174"/>
    <x v="0"/>
    <n v="41"/>
    <s v="Lawyer"/>
    <x v="8"/>
    <x v="4"/>
    <n v="90"/>
    <x v="5"/>
    <x v="1"/>
    <x v="14"/>
    <n v="70"/>
    <n v="8000"/>
    <x v="0"/>
  </r>
  <r>
    <n v="175"/>
    <x v="0"/>
    <n v="41"/>
    <s v="Lawyer"/>
    <x v="7"/>
    <x v="4"/>
    <n v="90"/>
    <x v="5"/>
    <x v="1"/>
    <x v="14"/>
    <n v="70"/>
    <n v="8000"/>
    <x v="0"/>
  </r>
  <r>
    <n v="176"/>
    <x v="0"/>
    <n v="41"/>
    <s v="Lawyer"/>
    <x v="7"/>
    <x v="4"/>
    <n v="90"/>
    <x v="5"/>
    <x v="1"/>
    <x v="14"/>
    <n v="70"/>
    <n v="8000"/>
    <x v="0"/>
  </r>
  <r>
    <n v="177"/>
    <x v="0"/>
    <n v="41"/>
    <s v="Lawyer"/>
    <x v="7"/>
    <x v="4"/>
    <n v="90"/>
    <x v="5"/>
    <x v="1"/>
    <x v="14"/>
    <n v="70"/>
    <n v="8000"/>
    <x v="0"/>
  </r>
  <r>
    <n v="178"/>
    <x v="0"/>
    <n v="42"/>
    <s v="Salesperson"/>
    <x v="6"/>
    <x v="0"/>
    <n v="45"/>
    <x v="2"/>
    <x v="0"/>
    <x v="14"/>
    <n v="72"/>
    <n v="6000"/>
    <x v="2"/>
  </r>
  <r>
    <n v="179"/>
    <x v="0"/>
    <n v="42"/>
    <s v="Lawyer"/>
    <x v="4"/>
    <x v="4"/>
    <n v="90"/>
    <x v="5"/>
    <x v="1"/>
    <x v="14"/>
    <n v="70"/>
    <n v="8000"/>
    <x v="0"/>
  </r>
  <r>
    <n v="180"/>
    <x v="0"/>
    <n v="42"/>
    <s v="Lawyer"/>
    <x v="4"/>
    <x v="4"/>
    <n v="90"/>
    <x v="5"/>
    <x v="1"/>
    <x v="14"/>
    <n v="70"/>
    <n v="8000"/>
    <x v="0"/>
  </r>
  <r>
    <n v="181"/>
    <x v="0"/>
    <n v="42"/>
    <s v="Lawyer"/>
    <x v="4"/>
    <x v="4"/>
    <n v="90"/>
    <x v="5"/>
    <x v="1"/>
    <x v="14"/>
    <n v="70"/>
    <n v="8000"/>
    <x v="0"/>
  </r>
  <r>
    <n v="182"/>
    <x v="0"/>
    <n v="42"/>
    <s v="Lawyer"/>
    <x v="4"/>
    <x v="4"/>
    <n v="90"/>
    <x v="5"/>
    <x v="1"/>
    <x v="14"/>
    <n v="70"/>
    <n v="8000"/>
    <x v="0"/>
  </r>
  <r>
    <n v="183"/>
    <x v="0"/>
    <n v="42"/>
    <s v="Lawyer"/>
    <x v="4"/>
    <x v="4"/>
    <n v="90"/>
    <x v="5"/>
    <x v="1"/>
    <x v="14"/>
    <n v="70"/>
    <n v="8000"/>
    <x v="0"/>
  </r>
  <r>
    <n v="184"/>
    <x v="0"/>
    <n v="42"/>
    <s v="Lawyer"/>
    <x v="4"/>
    <x v="4"/>
    <n v="90"/>
    <x v="5"/>
    <x v="1"/>
    <x v="14"/>
    <n v="70"/>
    <n v="8000"/>
    <x v="0"/>
  </r>
  <r>
    <n v="185"/>
    <x v="1"/>
    <n v="42"/>
    <s v="Teacher"/>
    <x v="21"/>
    <x v="0"/>
    <n v="45"/>
    <x v="2"/>
    <x v="0"/>
    <x v="14"/>
    <n v="78"/>
    <n v="5000"/>
    <x v="1"/>
  </r>
  <r>
    <n v="186"/>
    <x v="1"/>
    <n v="42"/>
    <s v="Teacher"/>
    <x v="21"/>
    <x v="0"/>
    <n v="45"/>
    <x v="2"/>
    <x v="0"/>
    <x v="14"/>
    <n v="78"/>
    <n v="5000"/>
    <x v="1"/>
  </r>
  <r>
    <n v="187"/>
    <x v="1"/>
    <n v="43"/>
    <s v="Teacher"/>
    <x v="14"/>
    <x v="2"/>
    <n v="45"/>
    <x v="3"/>
    <x v="0"/>
    <x v="19"/>
    <n v="65"/>
    <n v="6000"/>
    <x v="2"/>
  </r>
  <r>
    <n v="188"/>
    <x v="0"/>
    <n v="43"/>
    <s v="Salesperson"/>
    <x v="3"/>
    <x v="0"/>
    <n v="45"/>
    <x v="2"/>
    <x v="0"/>
    <x v="14"/>
    <n v="72"/>
    <n v="6000"/>
    <x v="2"/>
  </r>
  <r>
    <n v="189"/>
    <x v="1"/>
    <n v="43"/>
    <s v="Teacher"/>
    <x v="14"/>
    <x v="2"/>
    <n v="45"/>
    <x v="3"/>
    <x v="0"/>
    <x v="19"/>
    <n v="65"/>
    <n v="6000"/>
    <x v="2"/>
  </r>
  <r>
    <n v="190"/>
    <x v="0"/>
    <n v="43"/>
    <s v="Salesperson"/>
    <x v="6"/>
    <x v="0"/>
    <n v="45"/>
    <x v="2"/>
    <x v="0"/>
    <x v="14"/>
    <n v="72"/>
    <n v="6000"/>
    <x v="2"/>
  </r>
  <r>
    <n v="191"/>
    <x v="1"/>
    <n v="43"/>
    <s v="Teacher"/>
    <x v="14"/>
    <x v="2"/>
    <n v="45"/>
    <x v="3"/>
    <x v="0"/>
    <x v="19"/>
    <n v="65"/>
    <n v="6000"/>
    <x v="2"/>
  </r>
  <r>
    <n v="192"/>
    <x v="0"/>
    <n v="43"/>
    <s v="Salesperson"/>
    <x v="10"/>
    <x v="0"/>
    <n v="45"/>
    <x v="2"/>
    <x v="0"/>
    <x v="14"/>
    <n v="72"/>
    <n v="6000"/>
    <x v="2"/>
  </r>
  <r>
    <n v="193"/>
    <x v="0"/>
    <n v="43"/>
    <s v="Salesperson"/>
    <x v="6"/>
    <x v="0"/>
    <n v="45"/>
    <x v="2"/>
    <x v="0"/>
    <x v="14"/>
    <n v="72"/>
    <n v="6000"/>
    <x v="2"/>
  </r>
  <r>
    <n v="194"/>
    <x v="0"/>
    <n v="43"/>
    <s v="Salesperson"/>
    <x v="6"/>
    <x v="0"/>
    <n v="45"/>
    <x v="2"/>
    <x v="0"/>
    <x v="14"/>
    <n v="72"/>
    <n v="6000"/>
    <x v="2"/>
  </r>
  <r>
    <n v="195"/>
    <x v="0"/>
    <n v="43"/>
    <s v="Salesperson"/>
    <x v="6"/>
    <x v="0"/>
    <n v="45"/>
    <x v="2"/>
    <x v="0"/>
    <x v="14"/>
    <n v="72"/>
    <n v="6000"/>
    <x v="2"/>
  </r>
  <r>
    <n v="196"/>
    <x v="0"/>
    <n v="43"/>
    <s v="Salesperson"/>
    <x v="6"/>
    <x v="0"/>
    <n v="45"/>
    <x v="2"/>
    <x v="0"/>
    <x v="14"/>
    <n v="72"/>
    <n v="6000"/>
    <x v="2"/>
  </r>
  <r>
    <n v="197"/>
    <x v="0"/>
    <n v="43"/>
    <s v="Salesperson"/>
    <x v="6"/>
    <x v="0"/>
    <n v="45"/>
    <x v="2"/>
    <x v="0"/>
    <x v="14"/>
    <n v="72"/>
    <n v="6000"/>
    <x v="2"/>
  </r>
  <r>
    <n v="198"/>
    <x v="0"/>
    <n v="43"/>
    <s v="Salesperson"/>
    <x v="6"/>
    <x v="0"/>
    <n v="45"/>
    <x v="2"/>
    <x v="0"/>
    <x v="14"/>
    <n v="72"/>
    <n v="6000"/>
    <x v="2"/>
  </r>
  <r>
    <n v="199"/>
    <x v="0"/>
    <n v="43"/>
    <s v="Salesperson"/>
    <x v="6"/>
    <x v="0"/>
    <n v="45"/>
    <x v="2"/>
    <x v="0"/>
    <x v="14"/>
    <n v="72"/>
    <n v="6000"/>
    <x v="2"/>
  </r>
  <r>
    <n v="200"/>
    <x v="0"/>
    <n v="43"/>
    <s v="Salesperson"/>
    <x v="6"/>
    <x v="0"/>
    <n v="45"/>
    <x v="2"/>
    <x v="0"/>
    <x v="14"/>
    <n v="72"/>
    <n v="6000"/>
    <x v="2"/>
  </r>
  <r>
    <n v="201"/>
    <x v="0"/>
    <n v="43"/>
    <s v="Salesperson"/>
    <x v="6"/>
    <x v="0"/>
    <n v="45"/>
    <x v="2"/>
    <x v="0"/>
    <x v="14"/>
    <n v="72"/>
    <n v="6000"/>
    <x v="2"/>
  </r>
  <r>
    <n v="202"/>
    <x v="0"/>
    <n v="43"/>
    <s v="Engineer"/>
    <x v="4"/>
    <x v="4"/>
    <n v="90"/>
    <x v="5"/>
    <x v="1"/>
    <x v="14"/>
    <n v="70"/>
    <n v="8000"/>
    <x v="2"/>
  </r>
  <r>
    <n v="203"/>
    <x v="0"/>
    <n v="43"/>
    <s v="Engineer"/>
    <x v="4"/>
    <x v="4"/>
    <n v="90"/>
    <x v="5"/>
    <x v="1"/>
    <x v="14"/>
    <n v="70"/>
    <n v="8000"/>
    <x v="2"/>
  </r>
  <r>
    <n v="204"/>
    <x v="0"/>
    <n v="43"/>
    <s v="Engineer"/>
    <x v="19"/>
    <x v="0"/>
    <n v="47"/>
    <x v="2"/>
    <x v="1"/>
    <x v="6"/>
    <n v="69"/>
    <n v="6800"/>
    <x v="0"/>
  </r>
  <r>
    <n v="205"/>
    <x v="0"/>
    <n v="43"/>
    <s v="Engineer"/>
    <x v="7"/>
    <x v="4"/>
    <n v="75"/>
    <x v="3"/>
    <x v="0"/>
    <x v="20"/>
    <n v="68"/>
    <n v="6800"/>
    <x v="0"/>
  </r>
  <r>
    <n v="206"/>
    <x v="0"/>
    <n v="43"/>
    <s v="Engineer"/>
    <x v="8"/>
    <x v="4"/>
    <n v="90"/>
    <x v="5"/>
    <x v="1"/>
    <x v="14"/>
    <n v="70"/>
    <n v="8000"/>
    <x v="0"/>
  </r>
  <r>
    <n v="207"/>
    <x v="0"/>
    <n v="43"/>
    <s v="Engineer"/>
    <x v="8"/>
    <x v="4"/>
    <n v="90"/>
    <x v="5"/>
    <x v="1"/>
    <x v="14"/>
    <n v="70"/>
    <n v="8000"/>
    <x v="0"/>
  </r>
  <r>
    <n v="208"/>
    <x v="0"/>
    <n v="43"/>
    <s v="Engineer"/>
    <x v="8"/>
    <x v="4"/>
    <n v="90"/>
    <x v="5"/>
    <x v="1"/>
    <x v="14"/>
    <n v="70"/>
    <n v="8000"/>
    <x v="0"/>
  </r>
  <r>
    <n v="209"/>
    <x v="0"/>
    <n v="43"/>
    <s v="Engineer"/>
    <x v="8"/>
    <x v="4"/>
    <n v="90"/>
    <x v="5"/>
    <x v="1"/>
    <x v="14"/>
    <n v="70"/>
    <n v="8000"/>
    <x v="0"/>
  </r>
  <r>
    <n v="210"/>
    <x v="0"/>
    <n v="43"/>
    <s v="Engineer"/>
    <x v="4"/>
    <x v="4"/>
    <n v="90"/>
    <x v="5"/>
    <x v="1"/>
    <x v="14"/>
    <n v="70"/>
    <n v="8000"/>
    <x v="0"/>
  </r>
  <r>
    <n v="211"/>
    <x v="0"/>
    <n v="43"/>
    <s v="Engineer"/>
    <x v="8"/>
    <x v="4"/>
    <n v="90"/>
    <x v="5"/>
    <x v="1"/>
    <x v="14"/>
    <n v="70"/>
    <n v="8000"/>
    <x v="0"/>
  </r>
  <r>
    <n v="212"/>
    <x v="0"/>
    <n v="43"/>
    <s v="Engineer"/>
    <x v="4"/>
    <x v="4"/>
    <n v="90"/>
    <x v="5"/>
    <x v="1"/>
    <x v="14"/>
    <n v="70"/>
    <n v="8000"/>
    <x v="0"/>
  </r>
  <r>
    <n v="213"/>
    <x v="0"/>
    <n v="43"/>
    <s v="Engineer"/>
    <x v="4"/>
    <x v="4"/>
    <n v="90"/>
    <x v="5"/>
    <x v="1"/>
    <x v="14"/>
    <n v="70"/>
    <n v="8000"/>
    <x v="0"/>
  </r>
  <r>
    <n v="214"/>
    <x v="0"/>
    <n v="43"/>
    <s v="Engineer"/>
    <x v="4"/>
    <x v="4"/>
    <n v="90"/>
    <x v="5"/>
    <x v="1"/>
    <x v="14"/>
    <n v="70"/>
    <n v="8000"/>
    <x v="0"/>
  </r>
  <r>
    <n v="215"/>
    <x v="0"/>
    <n v="43"/>
    <s v="Engineer"/>
    <x v="4"/>
    <x v="4"/>
    <n v="90"/>
    <x v="5"/>
    <x v="1"/>
    <x v="14"/>
    <n v="70"/>
    <n v="8000"/>
    <x v="0"/>
  </r>
  <r>
    <n v="216"/>
    <x v="0"/>
    <n v="43"/>
    <s v="Engineer"/>
    <x v="4"/>
    <x v="4"/>
    <n v="90"/>
    <x v="5"/>
    <x v="1"/>
    <x v="14"/>
    <n v="70"/>
    <n v="8000"/>
    <x v="0"/>
  </r>
  <r>
    <n v="217"/>
    <x v="0"/>
    <n v="43"/>
    <s v="Engineer"/>
    <x v="4"/>
    <x v="4"/>
    <n v="90"/>
    <x v="5"/>
    <x v="1"/>
    <x v="14"/>
    <n v="70"/>
    <n v="8000"/>
    <x v="0"/>
  </r>
  <r>
    <n v="218"/>
    <x v="0"/>
    <n v="43"/>
    <s v="Engineer"/>
    <x v="4"/>
    <x v="4"/>
    <n v="90"/>
    <x v="5"/>
    <x v="1"/>
    <x v="14"/>
    <n v="70"/>
    <n v="8000"/>
    <x v="0"/>
  </r>
  <r>
    <n v="219"/>
    <x v="0"/>
    <n v="43"/>
    <s v="Engineer"/>
    <x v="4"/>
    <x v="4"/>
    <n v="90"/>
    <x v="5"/>
    <x v="1"/>
    <x v="14"/>
    <n v="70"/>
    <n v="8000"/>
    <x v="1"/>
  </r>
  <r>
    <n v="220"/>
    <x v="0"/>
    <n v="43"/>
    <s v="Salesperson"/>
    <x v="6"/>
    <x v="0"/>
    <n v="45"/>
    <x v="2"/>
    <x v="0"/>
    <x v="14"/>
    <n v="72"/>
    <n v="6000"/>
    <x v="1"/>
  </r>
  <r>
    <n v="221"/>
    <x v="1"/>
    <n v="44"/>
    <s v="Teacher"/>
    <x v="18"/>
    <x v="2"/>
    <n v="45"/>
    <x v="3"/>
    <x v="0"/>
    <x v="19"/>
    <n v="65"/>
    <n v="6000"/>
    <x v="2"/>
  </r>
  <r>
    <n v="222"/>
    <x v="0"/>
    <n v="44"/>
    <s v="Salesperson"/>
    <x v="10"/>
    <x v="0"/>
    <n v="45"/>
    <x v="2"/>
    <x v="0"/>
    <x v="14"/>
    <n v="72"/>
    <n v="6000"/>
    <x v="2"/>
  </r>
  <r>
    <n v="223"/>
    <x v="0"/>
    <n v="44"/>
    <s v="Salesperson"/>
    <x v="3"/>
    <x v="0"/>
    <n v="45"/>
    <x v="2"/>
    <x v="0"/>
    <x v="14"/>
    <n v="72"/>
    <n v="6000"/>
    <x v="2"/>
  </r>
  <r>
    <n v="224"/>
    <x v="0"/>
    <n v="44"/>
    <s v="Salesperson"/>
    <x v="10"/>
    <x v="0"/>
    <n v="45"/>
    <x v="2"/>
    <x v="0"/>
    <x v="14"/>
    <n v="72"/>
    <n v="6000"/>
    <x v="2"/>
  </r>
  <r>
    <n v="225"/>
    <x v="1"/>
    <n v="44"/>
    <s v="Teacher"/>
    <x v="18"/>
    <x v="2"/>
    <n v="45"/>
    <x v="3"/>
    <x v="0"/>
    <x v="19"/>
    <n v="65"/>
    <n v="6000"/>
    <x v="2"/>
  </r>
  <r>
    <n v="226"/>
    <x v="0"/>
    <n v="44"/>
    <s v="Salesperson"/>
    <x v="3"/>
    <x v="0"/>
    <n v="45"/>
    <x v="2"/>
    <x v="0"/>
    <x v="14"/>
    <n v="72"/>
    <n v="6000"/>
    <x v="2"/>
  </r>
  <r>
    <n v="227"/>
    <x v="1"/>
    <n v="44"/>
    <s v="Teacher"/>
    <x v="18"/>
    <x v="2"/>
    <n v="45"/>
    <x v="3"/>
    <x v="0"/>
    <x v="19"/>
    <n v="65"/>
    <n v="6000"/>
    <x v="2"/>
  </r>
  <r>
    <n v="228"/>
    <x v="0"/>
    <n v="44"/>
    <s v="Salesperson"/>
    <x v="3"/>
    <x v="0"/>
    <n v="45"/>
    <x v="2"/>
    <x v="0"/>
    <x v="14"/>
    <n v="72"/>
    <n v="6000"/>
    <x v="2"/>
  </r>
  <r>
    <n v="229"/>
    <x v="1"/>
    <n v="44"/>
    <s v="Teacher"/>
    <x v="18"/>
    <x v="2"/>
    <n v="45"/>
    <x v="3"/>
    <x v="0"/>
    <x v="19"/>
    <n v="65"/>
    <n v="6000"/>
    <x v="2"/>
  </r>
  <r>
    <n v="230"/>
    <x v="0"/>
    <n v="44"/>
    <s v="Salesperson"/>
    <x v="3"/>
    <x v="0"/>
    <n v="45"/>
    <x v="2"/>
    <x v="0"/>
    <x v="14"/>
    <n v="72"/>
    <n v="6000"/>
    <x v="2"/>
  </r>
  <r>
    <n v="231"/>
    <x v="1"/>
    <n v="44"/>
    <s v="Teacher"/>
    <x v="18"/>
    <x v="2"/>
    <n v="45"/>
    <x v="3"/>
    <x v="0"/>
    <x v="19"/>
    <n v="65"/>
    <n v="6000"/>
    <x v="2"/>
  </r>
  <r>
    <n v="232"/>
    <x v="0"/>
    <n v="44"/>
    <s v="Salesperson"/>
    <x v="3"/>
    <x v="0"/>
    <n v="45"/>
    <x v="2"/>
    <x v="0"/>
    <x v="14"/>
    <n v="72"/>
    <n v="6000"/>
    <x v="2"/>
  </r>
  <r>
    <n v="233"/>
    <x v="1"/>
    <n v="44"/>
    <s v="Teacher"/>
    <x v="18"/>
    <x v="2"/>
    <n v="45"/>
    <x v="3"/>
    <x v="0"/>
    <x v="19"/>
    <n v="65"/>
    <n v="6000"/>
    <x v="2"/>
  </r>
  <r>
    <n v="234"/>
    <x v="0"/>
    <n v="44"/>
    <s v="Salesperson"/>
    <x v="3"/>
    <x v="0"/>
    <n v="45"/>
    <x v="2"/>
    <x v="0"/>
    <x v="14"/>
    <n v="72"/>
    <n v="6000"/>
    <x v="2"/>
  </r>
  <r>
    <n v="235"/>
    <x v="1"/>
    <n v="44"/>
    <s v="Teacher"/>
    <x v="18"/>
    <x v="2"/>
    <n v="45"/>
    <x v="3"/>
    <x v="0"/>
    <x v="19"/>
    <n v="65"/>
    <n v="6000"/>
    <x v="2"/>
  </r>
  <r>
    <n v="236"/>
    <x v="0"/>
    <n v="44"/>
    <s v="Salesperson"/>
    <x v="3"/>
    <x v="0"/>
    <n v="45"/>
    <x v="2"/>
    <x v="0"/>
    <x v="14"/>
    <n v="72"/>
    <n v="6000"/>
    <x v="2"/>
  </r>
  <r>
    <n v="237"/>
    <x v="0"/>
    <n v="44"/>
    <s v="Salesperson"/>
    <x v="10"/>
    <x v="0"/>
    <n v="45"/>
    <x v="2"/>
    <x v="0"/>
    <x v="14"/>
    <n v="72"/>
    <n v="6000"/>
    <x v="2"/>
  </r>
  <r>
    <n v="238"/>
    <x v="1"/>
    <n v="44"/>
    <s v="Teacher"/>
    <x v="6"/>
    <x v="2"/>
    <n v="45"/>
    <x v="3"/>
    <x v="0"/>
    <x v="19"/>
    <n v="65"/>
    <n v="6000"/>
    <x v="2"/>
  </r>
  <r>
    <n v="239"/>
    <x v="0"/>
    <n v="44"/>
    <s v="Salesperson"/>
    <x v="3"/>
    <x v="0"/>
    <n v="45"/>
    <x v="2"/>
    <x v="0"/>
    <x v="14"/>
    <n v="72"/>
    <n v="6000"/>
    <x v="2"/>
  </r>
  <r>
    <n v="240"/>
    <x v="0"/>
    <n v="44"/>
    <s v="Salesperson"/>
    <x v="10"/>
    <x v="0"/>
    <n v="45"/>
    <x v="2"/>
    <x v="0"/>
    <x v="14"/>
    <n v="72"/>
    <n v="6000"/>
    <x v="2"/>
  </r>
  <r>
    <n v="241"/>
    <x v="1"/>
    <n v="44"/>
    <s v="Teacher"/>
    <x v="6"/>
    <x v="2"/>
    <n v="45"/>
    <x v="3"/>
    <x v="0"/>
    <x v="19"/>
    <n v="65"/>
    <n v="6000"/>
    <x v="2"/>
  </r>
  <r>
    <n v="242"/>
    <x v="0"/>
    <n v="44"/>
    <s v="Salesperson"/>
    <x v="3"/>
    <x v="0"/>
    <n v="45"/>
    <x v="2"/>
    <x v="0"/>
    <x v="14"/>
    <n v="72"/>
    <n v="6000"/>
    <x v="2"/>
  </r>
  <r>
    <n v="243"/>
    <x v="0"/>
    <n v="44"/>
    <s v="Salesperson"/>
    <x v="10"/>
    <x v="0"/>
    <n v="45"/>
    <x v="2"/>
    <x v="0"/>
    <x v="14"/>
    <n v="72"/>
    <n v="6000"/>
    <x v="2"/>
  </r>
  <r>
    <n v="244"/>
    <x v="1"/>
    <n v="44"/>
    <s v="Teacher"/>
    <x v="6"/>
    <x v="2"/>
    <n v="45"/>
    <x v="3"/>
    <x v="0"/>
    <x v="19"/>
    <n v="65"/>
    <n v="6000"/>
    <x v="2"/>
  </r>
  <r>
    <n v="245"/>
    <x v="0"/>
    <n v="44"/>
    <s v="Salesperson"/>
    <x v="3"/>
    <x v="0"/>
    <n v="45"/>
    <x v="2"/>
    <x v="0"/>
    <x v="14"/>
    <n v="72"/>
    <n v="6000"/>
    <x v="2"/>
  </r>
  <r>
    <n v="246"/>
    <x v="1"/>
    <n v="44"/>
    <s v="Teacher"/>
    <x v="6"/>
    <x v="2"/>
    <n v="45"/>
    <x v="3"/>
    <x v="0"/>
    <x v="19"/>
    <n v="65"/>
    <n v="6000"/>
    <x v="2"/>
  </r>
  <r>
    <n v="247"/>
    <x v="0"/>
    <n v="44"/>
    <s v="Salesperson"/>
    <x v="3"/>
    <x v="0"/>
    <n v="45"/>
    <x v="2"/>
    <x v="0"/>
    <x v="14"/>
    <n v="72"/>
    <n v="6000"/>
    <x v="2"/>
  </r>
  <r>
    <n v="248"/>
    <x v="0"/>
    <n v="44"/>
    <s v="Engineer"/>
    <x v="21"/>
    <x v="2"/>
    <n v="45"/>
    <x v="2"/>
    <x v="0"/>
    <x v="14"/>
    <n v="78"/>
    <n v="5000"/>
    <x v="2"/>
  </r>
  <r>
    <n v="249"/>
    <x v="0"/>
    <n v="44"/>
    <s v="Salesperson"/>
    <x v="10"/>
    <x v="0"/>
    <n v="45"/>
    <x v="2"/>
    <x v="0"/>
    <x v="14"/>
    <n v="72"/>
    <n v="6000"/>
    <x v="0"/>
  </r>
  <r>
    <n v="250"/>
    <x v="0"/>
    <n v="44"/>
    <s v="Salesperson"/>
    <x v="6"/>
    <x v="0"/>
    <n v="45"/>
    <x v="2"/>
    <x v="0"/>
    <x v="14"/>
    <n v="72"/>
    <n v="6000"/>
    <x v="0"/>
  </r>
  <r>
    <n v="251"/>
    <x v="1"/>
    <n v="45"/>
    <s v="Teacher"/>
    <x v="21"/>
    <x v="2"/>
    <n v="30"/>
    <x v="0"/>
    <x v="0"/>
    <x v="19"/>
    <n v="65"/>
    <n v="6000"/>
    <x v="2"/>
  </r>
  <r>
    <n v="252"/>
    <x v="1"/>
    <n v="45"/>
    <s v="Teacher"/>
    <x v="21"/>
    <x v="2"/>
    <n v="30"/>
    <x v="0"/>
    <x v="0"/>
    <x v="19"/>
    <n v="65"/>
    <n v="6000"/>
    <x v="2"/>
  </r>
  <r>
    <n v="253"/>
    <x v="1"/>
    <n v="45"/>
    <s v="Teacher"/>
    <x v="6"/>
    <x v="2"/>
    <n v="45"/>
    <x v="3"/>
    <x v="0"/>
    <x v="19"/>
    <n v="65"/>
    <n v="6000"/>
    <x v="2"/>
  </r>
  <r>
    <n v="254"/>
    <x v="1"/>
    <n v="45"/>
    <s v="Teacher"/>
    <x v="6"/>
    <x v="2"/>
    <n v="45"/>
    <x v="3"/>
    <x v="0"/>
    <x v="19"/>
    <n v="65"/>
    <n v="6000"/>
    <x v="2"/>
  </r>
  <r>
    <n v="255"/>
    <x v="1"/>
    <n v="45"/>
    <s v="Teacher"/>
    <x v="6"/>
    <x v="2"/>
    <n v="45"/>
    <x v="3"/>
    <x v="0"/>
    <x v="19"/>
    <n v="65"/>
    <n v="6000"/>
    <x v="2"/>
  </r>
  <r>
    <n v="256"/>
    <x v="1"/>
    <n v="45"/>
    <s v="Teacher"/>
    <x v="6"/>
    <x v="2"/>
    <n v="45"/>
    <x v="3"/>
    <x v="0"/>
    <x v="19"/>
    <n v="65"/>
    <n v="6000"/>
    <x v="2"/>
  </r>
  <r>
    <n v="257"/>
    <x v="1"/>
    <n v="45"/>
    <s v="Teacher"/>
    <x v="18"/>
    <x v="2"/>
    <n v="45"/>
    <x v="3"/>
    <x v="0"/>
    <x v="19"/>
    <n v="65"/>
    <n v="6000"/>
    <x v="2"/>
  </r>
  <r>
    <n v="258"/>
    <x v="1"/>
    <n v="45"/>
    <s v="Teacher"/>
    <x v="18"/>
    <x v="2"/>
    <n v="45"/>
    <x v="3"/>
    <x v="0"/>
    <x v="19"/>
    <n v="65"/>
    <n v="6000"/>
    <x v="2"/>
  </r>
  <r>
    <n v="259"/>
    <x v="1"/>
    <n v="45"/>
    <s v="Teacher"/>
    <x v="18"/>
    <x v="2"/>
    <n v="45"/>
    <x v="3"/>
    <x v="0"/>
    <x v="19"/>
    <n v="65"/>
    <n v="6000"/>
    <x v="2"/>
  </r>
  <r>
    <n v="260"/>
    <x v="1"/>
    <n v="45"/>
    <s v="Teacher"/>
    <x v="18"/>
    <x v="2"/>
    <n v="45"/>
    <x v="3"/>
    <x v="0"/>
    <x v="19"/>
    <n v="65"/>
    <n v="6000"/>
    <x v="2"/>
  </r>
  <r>
    <n v="261"/>
    <x v="1"/>
    <n v="45"/>
    <s v="Teacher"/>
    <x v="18"/>
    <x v="2"/>
    <n v="45"/>
    <x v="3"/>
    <x v="0"/>
    <x v="19"/>
    <n v="65"/>
    <n v="6000"/>
    <x v="2"/>
  </r>
  <r>
    <n v="262"/>
    <x v="1"/>
    <n v="45"/>
    <s v="Teacher"/>
    <x v="18"/>
    <x v="2"/>
    <n v="45"/>
    <x v="3"/>
    <x v="0"/>
    <x v="19"/>
    <n v="65"/>
    <n v="6000"/>
    <x v="0"/>
  </r>
  <r>
    <n v="263"/>
    <x v="1"/>
    <n v="45"/>
    <s v="Teacher"/>
    <x v="18"/>
    <x v="2"/>
    <n v="45"/>
    <x v="3"/>
    <x v="0"/>
    <x v="19"/>
    <n v="65"/>
    <n v="6000"/>
    <x v="0"/>
  </r>
  <r>
    <n v="264"/>
    <x v="1"/>
    <n v="45"/>
    <s v="Manager"/>
    <x v="19"/>
    <x v="2"/>
    <n v="55"/>
    <x v="5"/>
    <x v="0"/>
    <x v="18"/>
    <n v="75"/>
    <n v="5500"/>
    <x v="0"/>
  </r>
  <r>
    <n v="265"/>
    <x v="0"/>
    <n v="48"/>
    <s v="Doctor"/>
    <x v="15"/>
    <x v="2"/>
    <n v="65"/>
    <x v="5"/>
    <x v="2"/>
    <x v="21"/>
    <n v="83"/>
    <n v="3500"/>
    <x v="2"/>
  </r>
  <r>
    <n v="266"/>
    <x v="1"/>
    <n v="48"/>
    <s v="Nurse"/>
    <x v="2"/>
    <x v="0"/>
    <n v="90"/>
    <x v="1"/>
    <x v="0"/>
    <x v="22"/>
    <n v="75"/>
    <n v="10000"/>
    <x v="1"/>
  </r>
  <r>
    <n v="267"/>
    <x v="0"/>
    <n v="48"/>
    <s v="Doctor"/>
    <x v="15"/>
    <x v="2"/>
    <n v="65"/>
    <x v="5"/>
    <x v="2"/>
    <x v="21"/>
    <n v="83"/>
    <n v="3500"/>
    <x v="2"/>
  </r>
  <r>
    <n v="268"/>
    <x v="1"/>
    <n v="49"/>
    <s v="Nurse"/>
    <x v="1"/>
    <x v="0"/>
    <n v="90"/>
    <x v="1"/>
    <x v="0"/>
    <x v="22"/>
    <n v="75"/>
    <n v="10000"/>
    <x v="0"/>
  </r>
  <r>
    <n v="269"/>
    <x v="1"/>
    <n v="49"/>
    <s v="Nurse"/>
    <x v="5"/>
    <x v="0"/>
    <n v="90"/>
    <x v="1"/>
    <x v="0"/>
    <x v="22"/>
    <n v="75"/>
    <n v="10000"/>
    <x v="1"/>
  </r>
  <r>
    <n v="270"/>
    <x v="1"/>
    <n v="49"/>
    <s v="Nurse"/>
    <x v="0"/>
    <x v="0"/>
    <n v="90"/>
    <x v="1"/>
    <x v="0"/>
    <x v="22"/>
    <n v="75"/>
    <n v="10000"/>
    <x v="1"/>
  </r>
  <r>
    <n v="271"/>
    <x v="1"/>
    <n v="49"/>
    <s v="Nurse"/>
    <x v="0"/>
    <x v="0"/>
    <n v="90"/>
    <x v="1"/>
    <x v="0"/>
    <x v="22"/>
    <n v="75"/>
    <n v="10000"/>
    <x v="1"/>
  </r>
  <r>
    <n v="272"/>
    <x v="1"/>
    <n v="49"/>
    <s v="Nurse"/>
    <x v="0"/>
    <x v="0"/>
    <n v="90"/>
    <x v="1"/>
    <x v="0"/>
    <x v="22"/>
    <n v="75"/>
    <n v="10000"/>
    <x v="1"/>
  </r>
  <r>
    <n v="273"/>
    <x v="1"/>
    <n v="49"/>
    <s v="Nurse"/>
    <x v="0"/>
    <x v="0"/>
    <n v="90"/>
    <x v="1"/>
    <x v="0"/>
    <x v="22"/>
    <n v="75"/>
    <n v="10000"/>
    <x v="1"/>
  </r>
  <r>
    <n v="274"/>
    <x v="1"/>
    <n v="49"/>
    <s v="Nurse"/>
    <x v="1"/>
    <x v="0"/>
    <n v="90"/>
    <x v="1"/>
    <x v="0"/>
    <x v="22"/>
    <n v="75"/>
    <n v="10000"/>
    <x v="1"/>
  </r>
  <r>
    <n v="275"/>
    <x v="1"/>
    <n v="49"/>
    <s v="Nurse"/>
    <x v="1"/>
    <x v="0"/>
    <n v="90"/>
    <x v="1"/>
    <x v="0"/>
    <x v="22"/>
    <n v="75"/>
    <n v="10000"/>
    <x v="1"/>
  </r>
  <r>
    <n v="276"/>
    <x v="1"/>
    <n v="49"/>
    <s v="Nurse"/>
    <x v="1"/>
    <x v="0"/>
    <n v="90"/>
    <x v="1"/>
    <x v="0"/>
    <x v="22"/>
    <n v="75"/>
    <n v="10000"/>
    <x v="1"/>
  </r>
  <r>
    <n v="277"/>
    <x v="0"/>
    <n v="49"/>
    <s v="Doctor"/>
    <x v="22"/>
    <x v="5"/>
    <n v="85"/>
    <x v="4"/>
    <x v="2"/>
    <x v="23"/>
    <n v="86"/>
    <n v="3700"/>
    <x v="1"/>
  </r>
  <r>
    <n v="278"/>
    <x v="0"/>
    <n v="49"/>
    <s v="Doctor"/>
    <x v="22"/>
    <x v="5"/>
    <n v="85"/>
    <x v="4"/>
    <x v="2"/>
    <x v="23"/>
    <n v="86"/>
    <n v="3700"/>
    <x v="1"/>
  </r>
  <r>
    <n v="279"/>
    <x v="1"/>
    <n v="50"/>
    <s v="Nurse"/>
    <x v="0"/>
    <x v="0"/>
    <n v="90"/>
    <x v="1"/>
    <x v="0"/>
    <x v="22"/>
    <n v="75"/>
    <n v="10000"/>
    <x v="2"/>
  </r>
  <r>
    <n v="280"/>
    <x v="1"/>
    <n v="50"/>
    <s v="Engineer"/>
    <x v="23"/>
    <x v="5"/>
    <n v="30"/>
    <x v="4"/>
    <x v="1"/>
    <x v="1"/>
    <n v="65"/>
    <n v="5000"/>
    <x v="0"/>
  </r>
  <r>
    <n v="281"/>
    <x v="1"/>
    <n v="50"/>
    <s v="Nurse"/>
    <x v="5"/>
    <x v="0"/>
    <n v="90"/>
    <x v="1"/>
    <x v="0"/>
    <x v="22"/>
    <n v="75"/>
    <n v="10000"/>
    <x v="0"/>
  </r>
  <r>
    <n v="282"/>
    <x v="1"/>
    <n v="50"/>
    <s v="Nurse"/>
    <x v="0"/>
    <x v="0"/>
    <n v="90"/>
    <x v="1"/>
    <x v="0"/>
    <x v="22"/>
    <n v="75"/>
    <n v="10000"/>
    <x v="1"/>
  </r>
  <r>
    <n v="283"/>
    <x v="1"/>
    <n v="50"/>
    <s v="Nurse"/>
    <x v="5"/>
    <x v="0"/>
    <n v="90"/>
    <x v="1"/>
    <x v="0"/>
    <x v="22"/>
    <n v="75"/>
    <n v="10000"/>
    <x v="1"/>
  </r>
  <r>
    <n v="284"/>
    <x v="1"/>
    <n v="50"/>
    <s v="Nurse"/>
    <x v="5"/>
    <x v="0"/>
    <n v="90"/>
    <x v="1"/>
    <x v="0"/>
    <x v="22"/>
    <n v="75"/>
    <n v="10000"/>
    <x v="1"/>
  </r>
  <r>
    <n v="285"/>
    <x v="1"/>
    <n v="50"/>
    <s v="Nurse"/>
    <x v="5"/>
    <x v="0"/>
    <n v="90"/>
    <x v="1"/>
    <x v="0"/>
    <x v="22"/>
    <n v="75"/>
    <n v="10000"/>
    <x v="1"/>
  </r>
  <r>
    <n v="286"/>
    <x v="1"/>
    <n v="50"/>
    <s v="Nurse"/>
    <x v="5"/>
    <x v="0"/>
    <n v="90"/>
    <x v="1"/>
    <x v="0"/>
    <x v="22"/>
    <n v="75"/>
    <n v="10000"/>
    <x v="1"/>
  </r>
  <r>
    <n v="287"/>
    <x v="1"/>
    <n v="50"/>
    <s v="Nurse"/>
    <x v="5"/>
    <x v="0"/>
    <n v="90"/>
    <x v="1"/>
    <x v="0"/>
    <x v="22"/>
    <n v="75"/>
    <n v="10000"/>
    <x v="1"/>
  </r>
  <r>
    <n v="288"/>
    <x v="1"/>
    <n v="50"/>
    <s v="Nurse"/>
    <x v="5"/>
    <x v="0"/>
    <n v="90"/>
    <x v="1"/>
    <x v="0"/>
    <x v="22"/>
    <n v="75"/>
    <n v="10000"/>
    <x v="1"/>
  </r>
  <r>
    <n v="289"/>
    <x v="1"/>
    <n v="50"/>
    <s v="Nurse"/>
    <x v="5"/>
    <x v="0"/>
    <n v="90"/>
    <x v="1"/>
    <x v="0"/>
    <x v="22"/>
    <n v="75"/>
    <n v="10000"/>
    <x v="1"/>
  </r>
  <r>
    <n v="290"/>
    <x v="1"/>
    <n v="50"/>
    <s v="Nurse"/>
    <x v="0"/>
    <x v="0"/>
    <n v="90"/>
    <x v="1"/>
    <x v="0"/>
    <x v="22"/>
    <n v="75"/>
    <n v="10000"/>
    <x v="1"/>
  </r>
  <r>
    <n v="291"/>
    <x v="1"/>
    <n v="50"/>
    <s v="Nurse"/>
    <x v="5"/>
    <x v="0"/>
    <n v="90"/>
    <x v="1"/>
    <x v="0"/>
    <x v="22"/>
    <n v="75"/>
    <n v="10000"/>
    <x v="1"/>
  </r>
  <r>
    <n v="292"/>
    <x v="1"/>
    <n v="50"/>
    <s v="Nurse"/>
    <x v="0"/>
    <x v="0"/>
    <n v="90"/>
    <x v="1"/>
    <x v="0"/>
    <x v="22"/>
    <n v="75"/>
    <n v="10000"/>
    <x v="1"/>
  </r>
  <r>
    <n v="293"/>
    <x v="1"/>
    <n v="50"/>
    <s v="Nurse"/>
    <x v="0"/>
    <x v="0"/>
    <n v="90"/>
    <x v="1"/>
    <x v="0"/>
    <x v="22"/>
    <n v="75"/>
    <n v="10000"/>
    <x v="1"/>
  </r>
  <r>
    <n v="294"/>
    <x v="1"/>
    <n v="50"/>
    <s v="Nurse"/>
    <x v="5"/>
    <x v="0"/>
    <n v="90"/>
    <x v="1"/>
    <x v="0"/>
    <x v="22"/>
    <n v="75"/>
    <n v="10000"/>
    <x v="1"/>
  </r>
  <r>
    <n v="295"/>
    <x v="1"/>
    <n v="50"/>
    <s v="Nurse"/>
    <x v="0"/>
    <x v="0"/>
    <n v="90"/>
    <x v="1"/>
    <x v="0"/>
    <x v="22"/>
    <n v="75"/>
    <n v="10000"/>
    <x v="1"/>
  </r>
  <r>
    <n v="296"/>
    <x v="1"/>
    <n v="50"/>
    <s v="Nurse"/>
    <x v="5"/>
    <x v="0"/>
    <n v="90"/>
    <x v="1"/>
    <x v="0"/>
    <x v="22"/>
    <n v="75"/>
    <n v="10000"/>
    <x v="1"/>
  </r>
  <r>
    <n v="297"/>
    <x v="1"/>
    <n v="50"/>
    <s v="Nurse"/>
    <x v="0"/>
    <x v="0"/>
    <n v="90"/>
    <x v="1"/>
    <x v="0"/>
    <x v="22"/>
    <n v="75"/>
    <n v="10000"/>
    <x v="1"/>
  </r>
  <r>
    <n v="298"/>
    <x v="1"/>
    <n v="50"/>
    <s v="Nurse"/>
    <x v="0"/>
    <x v="0"/>
    <n v="90"/>
    <x v="1"/>
    <x v="0"/>
    <x v="22"/>
    <n v="75"/>
    <n v="10000"/>
    <x v="1"/>
  </r>
  <r>
    <n v="299"/>
    <x v="1"/>
    <n v="51"/>
    <s v="Engineer"/>
    <x v="24"/>
    <x v="5"/>
    <n v="30"/>
    <x v="4"/>
    <x v="1"/>
    <x v="1"/>
    <n v="65"/>
    <n v="5000"/>
    <x v="0"/>
  </r>
  <r>
    <n v="300"/>
    <x v="1"/>
    <n v="51"/>
    <s v="Engineer"/>
    <x v="24"/>
    <x v="5"/>
    <n v="30"/>
    <x v="4"/>
    <x v="1"/>
    <x v="1"/>
    <n v="65"/>
    <n v="5000"/>
    <x v="0"/>
  </r>
  <r>
    <n v="301"/>
    <x v="1"/>
    <n v="51"/>
    <s v="Engineer"/>
    <x v="24"/>
    <x v="5"/>
    <n v="30"/>
    <x v="4"/>
    <x v="1"/>
    <x v="1"/>
    <n v="65"/>
    <n v="5000"/>
    <x v="0"/>
  </r>
  <r>
    <n v="302"/>
    <x v="1"/>
    <n v="51"/>
    <s v="Engineer"/>
    <x v="24"/>
    <x v="5"/>
    <n v="30"/>
    <x v="4"/>
    <x v="1"/>
    <x v="1"/>
    <n v="65"/>
    <n v="5000"/>
    <x v="0"/>
  </r>
  <r>
    <n v="303"/>
    <x v="1"/>
    <n v="51"/>
    <s v="Nurse"/>
    <x v="17"/>
    <x v="2"/>
    <n v="55"/>
    <x v="0"/>
    <x v="1"/>
    <x v="18"/>
    <n v="72"/>
    <n v="6000"/>
    <x v="0"/>
  </r>
  <r>
    <n v="304"/>
    <x v="1"/>
    <n v="51"/>
    <s v="Nurse"/>
    <x v="5"/>
    <x v="0"/>
    <n v="90"/>
    <x v="1"/>
    <x v="0"/>
    <x v="22"/>
    <n v="75"/>
    <n v="10000"/>
    <x v="1"/>
  </r>
  <r>
    <n v="305"/>
    <x v="1"/>
    <n v="51"/>
    <s v="Nurse"/>
    <x v="0"/>
    <x v="0"/>
    <n v="90"/>
    <x v="1"/>
    <x v="0"/>
    <x v="22"/>
    <n v="75"/>
    <n v="10000"/>
    <x v="1"/>
  </r>
  <r>
    <n v="306"/>
    <x v="1"/>
    <n v="51"/>
    <s v="Nurse"/>
    <x v="0"/>
    <x v="0"/>
    <n v="90"/>
    <x v="1"/>
    <x v="0"/>
    <x v="22"/>
    <n v="75"/>
    <n v="10000"/>
    <x v="1"/>
  </r>
  <r>
    <n v="307"/>
    <x v="1"/>
    <n v="52"/>
    <s v="Accountant"/>
    <x v="6"/>
    <x v="2"/>
    <n v="45"/>
    <x v="2"/>
    <x v="0"/>
    <x v="14"/>
    <n v="72"/>
    <n v="6000"/>
    <x v="2"/>
  </r>
  <r>
    <n v="308"/>
    <x v="1"/>
    <n v="52"/>
    <s v="Accountant"/>
    <x v="6"/>
    <x v="2"/>
    <n v="45"/>
    <x v="2"/>
    <x v="0"/>
    <x v="14"/>
    <n v="72"/>
    <n v="6000"/>
    <x v="2"/>
  </r>
  <r>
    <n v="309"/>
    <x v="1"/>
    <n v="52"/>
    <s v="Accountant"/>
    <x v="18"/>
    <x v="2"/>
    <n v="45"/>
    <x v="2"/>
    <x v="0"/>
    <x v="14"/>
    <n v="72"/>
    <n v="6000"/>
    <x v="2"/>
  </r>
  <r>
    <n v="310"/>
    <x v="1"/>
    <n v="52"/>
    <s v="Accountant"/>
    <x v="18"/>
    <x v="2"/>
    <n v="45"/>
    <x v="2"/>
    <x v="0"/>
    <x v="14"/>
    <n v="72"/>
    <n v="6000"/>
    <x v="2"/>
  </r>
  <r>
    <n v="311"/>
    <x v="1"/>
    <n v="52"/>
    <s v="Accountant"/>
    <x v="18"/>
    <x v="2"/>
    <n v="45"/>
    <x v="2"/>
    <x v="0"/>
    <x v="14"/>
    <n v="72"/>
    <n v="6000"/>
    <x v="2"/>
  </r>
  <r>
    <n v="312"/>
    <x v="1"/>
    <n v="52"/>
    <s v="Accountant"/>
    <x v="18"/>
    <x v="2"/>
    <n v="45"/>
    <x v="2"/>
    <x v="0"/>
    <x v="14"/>
    <n v="72"/>
    <n v="6000"/>
    <x v="2"/>
  </r>
  <r>
    <n v="313"/>
    <x v="1"/>
    <n v="52"/>
    <s v="Engineer"/>
    <x v="25"/>
    <x v="5"/>
    <n v="30"/>
    <x v="4"/>
    <x v="1"/>
    <x v="1"/>
    <n v="65"/>
    <n v="5000"/>
    <x v="0"/>
  </r>
  <r>
    <n v="314"/>
    <x v="1"/>
    <n v="52"/>
    <s v="Engineer"/>
    <x v="25"/>
    <x v="5"/>
    <n v="30"/>
    <x v="4"/>
    <x v="1"/>
    <x v="1"/>
    <n v="65"/>
    <n v="5000"/>
    <x v="0"/>
  </r>
  <r>
    <n v="315"/>
    <x v="1"/>
    <n v="52"/>
    <s v="Engineer"/>
    <x v="25"/>
    <x v="5"/>
    <n v="30"/>
    <x v="4"/>
    <x v="1"/>
    <x v="1"/>
    <n v="65"/>
    <n v="5000"/>
    <x v="0"/>
  </r>
  <r>
    <n v="316"/>
    <x v="1"/>
    <n v="53"/>
    <s v="Engineer"/>
    <x v="23"/>
    <x v="5"/>
    <n v="30"/>
    <x v="4"/>
    <x v="1"/>
    <x v="1"/>
    <n v="65"/>
    <n v="5000"/>
    <x v="2"/>
  </r>
  <r>
    <n v="317"/>
    <x v="1"/>
    <n v="53"/>
    <s v="Engineer"/>
    <x v="24"/>
    <x v="5"/>
    <n v="30"/>
    <x v="4"/>
    <x v="1"/>
    <x v="1"/>
    <n v="65"/>
    <n v="5000"/>
    <x v="0"/>
  </r>
  <r>
    <n v="318"/>
    <x v="1"/>
    <n v="53"/>
    <s v="Engineer"/>
    <x v="24"/>
    <x v="5"/>
    <n v="30"/>
    <x v="4"/>
    <x v="1"/>
    <x v="1"/>
    <n v="65"/>
    <n v="5000"/>
    <x v="0"/>
  </r>
  <r>
    <n v="319"/>
    <x v="1"/>
    <n v="53"/>
    <s v="Engineer"/>
    <x v="25"/>
    <x v="5"/>
    <n v="30"/>
    <x v="4"/>
    <x v="1"/>
    <x v="1"/>
    <n v="65"/>
    <n v="5000"/>
    <x v="0"/>
  </r>
  <r>
    <n v="320"/>
    <x v="1"/>
    <n v="53"/>
    <s v="Engineer"/>
    <x v="25"/>
    <x v="5"/>
    <n v="30"/>
    <x v="4"/>
    <x v="1"/>
    <x v="1"/>
    <n v="65"/>
    <n v="5000"/>
    <x v="0"/>
  </r>
  <r>
    <n v="321"/>
    <x v="1"/>
    <n v="53"/>
    <s v="Engineer"/>
    <x v="24"/>
    <x v="5"/>
    <n v="30"/>
    <x v="4"/>
    <x v="1"/>
    <x v="1"/>
    <n v="65"/>
    <n v="5000"/>
    <x v="0"/>
  </r>
  <r>
    <n v="322"/>
    <x v="1"/>
    <n v="53"/>
    <s v="Engineer"/>
    <x v="25"/>
    <x v="5"/>
    <n v="30"/>
    <x v="4"/>
    <x v="1"/>
    <x v="1"/>
    <n v="65"/>
    <n v="5000"/>
    <x v="0"/>
  </r>
  <r>
    <n v="323"/>
    <x v="1"/>
    <n v="53"/>
    <s v="Engineer"/>
    <x v="25"/>
    <x v="5"/>
    <n v="30"/>
    <x v="4"/>
    <x v="1"/>
    <x v="1"/>
    <n v="65"/>
    <n v="5000"/>
    <x v="0"/>
  </r>
  <r>
    <n v="324"/>
    <x v="1"/>
    <n v="53"/>
    <s v="Engineer"/>
    <x v="24"/>
    <x v="5"/>
    <n v="30"/>
    <x v="4"/>
    <x v="1"/>
    <x v="1"/>
    <n v="65"/>
    <n v="5000"/>
    <x v="0"/>
  </r>
  <r>
    <n v="325"/>
    <x v="1"/>
    <n v="53"/>
    <s v="Engineer"/>
    <x v="23"/>
    <x v="5"/>
    <n v="30"/>
    <x v="4"/>
    <x v="1"/>
    <x v="1"/>
    <n v="65"/>
    <n v="5000"/>
    <x v="0"/>
  </r>
  <r>
    <n v="326"/>
    <x v="1"/>
    <n v="53"/>
    <s v="Engineer"/>
    <x v="24"/>
    <x v="5"/>
    <n v="30"/>
    <x v="4"/>
    <x v="1"/>
    <x v="1"/>
    <n v="65"/>
    <n v="5000"/>
    <x v="0"/>
  </r>
  <r>
    <n v="327"/>
    <x v="1"/>
    <n v="53"/>
    <s v="Engineer"/>
    <x v="23"/>
    <x v="5"/>
    <n v="30"/>
    <x v="4"/>
    <x v="1"/>
    <x v="1"/>
    <n v="65"/>
    <n v="5000"/>
    <x v="0"/>
  </r>
  <r>
    <n v="328"/>
    <x v="1"/>
    <n v="53"/>
    <s v="Engineer"/>
    <x v="24"/>
    <x v="5"/>
    <n v="30"/>
    <x v="4"/>
    <x v="1"/>
    <x v="1"/>
    <n v="65"/>
    <n v="5000"/>
    <x v="0"/>
  </r>
  <r>
    <n v="329"/>
    <x v="1"/>
    <n v="53"/>
    <s v="Engineer"/>
    <x v="23"/>
    <x v="5"/>
    <n v="30"/>
    <x v="4"/>
    <x v="1"/>
    <x v="1"/>
    <n v="65"/>
    <n v="5000"/>
    <x v="0"/>
  </r>
  <r>
    <n v="330"/>
    <x v="1"/>
    <n v="53"/>
    <s v="Engineer"/>
    <x v="24"/>
    <x v="5"/>
    <n v="30"/>
    <x v="4"/>
    <x v="1"/>
    <x v="1"/>
    <n v="65"/>
    <n v="5000"/>
    <x v="0"/>
  </r>
  <r>
    <n v="331"/>
    <x v="1"/>
    <n v="53"/>
    <s v="Engineer"/>
    <x v="24"/>
    <x v="5"/>
    <n v="30"/>
    <x v="4"/>
    <x v="1"/>
    <x v="1"/>
    <n v="65"/>
    <n v="5000"/>
    <x v="0"/>
  </r>
  <r>
    <n v="332"/>
    <x v="1"/>
    <n v="53"/>
    <s v="Engineer"/>
    <x v="25"/>
    <x v="5"/>
    <n v="30"/>
    <x v="4"/>
    <x v="1"/>
    <x v="1"/>
    <n v="65"/>
    <n v="5000"/>
    <x v="0"/>
  </r>
  <r>
    <n v="333"/>
    <x v="1"/>
    <n v="54"/>
    <s v="Engineer"/>
    <x v="25"/>
    <x v="5"/>
    <n v="30"/>
    <x v="4"/>
    <x v="1"/>
    <x v="1"/>
    <n v="65"/>
    <n v="5000"/>
    <x v="0"/>
  </r>
  <r>
    <n v="334"/>
    <x v="1"/>
    <n v="54"/>
    <s v="Engineer"/>
    <x v="25"/>
    <x v="5"/>
    <n v="30"/>
    <x v="4"/>
    <x v="1"/>
    <x v="1"/>
    <n v="65"/>
    <n v="5000"/>
    <x v="0"/>
  </r>
  <r>
    <n v="335"/>
    <x v="1"/>
    <n v="54"/>
    <s v="Engineer"/>
    <x v="25"/>
    <x v="5"/>
    <n v="30"/>
    <x v="4"/>
    <x v="1"/>
    <x v="1"/>
    <n v="65"/>
    <n v="5000"/>
    <x v="0"/>
  </r>
  <r>
    <n v="336"/>
    <x v="1"/>
    <n v="54"/>
    <s v="Engineer"/>
    <x v="25"/>
    <x v="5"/>
    <n v="30"/>
    <x v="4"/>
    <x v="1"/>
    <x v="1"/>
    <n v="65"/>
    <n v="5000"/>
    <x v="0"/>
  </r>
  <r>
    <n v="337"/>
    <x v="1"/>
    <n v="54"/>
    <s v="Engineer"/>
    <x v="25"/>
    <x v="5"/>
    <n v="30"/>
    <x v="4"/>
    <x v="1"/>
    <x v="1"/>
    <n v="65"/>
    <n v="5000"/>
    <x v="0"/>
  </r>
  <r>
    <n v="338"/>
    <x v="1"/>
    <n v="54"/>
    <s v="Engineer"/>
    <x v="25"/>
    <x v="5"/>
    <n v="30"/>
    <x v="4"/>
    <x v="1"/>
    <x v="1"/>
    <n v="65"/>
    <n v="5000"/>
    <x v="0"/>
  </r>
  <r>
    <n v="339"/>
    <x v="1"/>
    <n v="54"/>
    <s v="Engineer"/>
    <x v="24"/>
    <x v="5"/>
    <n v="30"/>
    <x v="4"/>
    <x v="1"/>
    <x v="1"/>
    <n v="65"/>
    <n v="5000"/>
    <x v="0"/>
  </r>
  <r>
    <n v="340"/>
    <x v="1"/>
    <n v="55"/>
    <s v="Nurse"/>
    <x v="22"/>
    <x v="5"/>
    <n v="75"/>
    <x v="3"/>
    <x v="0"/>
    <x v="22"/>
    <n v="72"/>
    <n v="5000"/>
    <x v="1"/>
  </r>
  <r>
    <n v="341"/>
    <x v="1"/>
    <n v="55"/>
    <s v="Nurse"/>
    <x v="22"/>
    <x v="5"/>
    <n v="75"/>
    <x v="3"/>
    <x v="0"/>
    <x v="22"/>
    <n v="72"/>
    <n v="5000"/>
    <x v="1"/>
  </r>
  <r>
    <n v="342"/>
    <x v="1"/>
    <n v="56"/>
    <s v="Doctor"/>
    <x v="26"/>
    <x v="5"/>
    <n v="90"/>
    <x v="4"/>
    <x v="1"/>
    <x v="24"/>
    <n v="65"/>
    <n v="10000"/>
    <x v="0"/>
  </r>
  <r>
    <n v="343"/>
    <x v="1"/>
    <n v="56"/>
    <s v="Doctor"/>
    <x v="26"/>
    <x v="5"/>
    <n v="90"/>
    <x v="4"/>
    <x v="1"/>
    <x v="24"/>
    <n v="65"/>
    <n v="10000"/>
    <x v="0"/>
  </r>
  <r>
    <n v="344"/>
    <x v="1"/>
    <n v="57"/>
    <s v="Nurse"/>
    <x v="22"/>
    <x v="5"/>
    <n v="75"/>
    <x v="4"/>
    <x v="0"/>
    <x v="22"/>
    <n v="68"/>
    <n v="7000"/>
    <x v="0"/>
  </r>
  <r>
    <n v="345"/>
    <x v="1"/>
    <n v="57"/>
    <s v="Nurse"/>
    <x v="26"/>
    <x v="5"/>
    <n v="75"/>
    <x v="4"/>
    <x v="0"/>
    <x v="22"/>
    <n v="68"/>
    <n v="7000"/>
    <x v="1"/>
  </r>
  <r>
    <n v="346"/>
    <x v="1"/>
    <n v="57"/>
    <s v="Nurse"/>
    <x v="26"/>
    <x v="5"/>
    <n v="75"/>
    <x v="4"/>
    <x v="0"/>
    <x v="22"/>
    <n v="68"/>
    <n v="7000"/>
    <x v="1"/>
  </r>
  <r>
    <n v="347"/>
    <x v="1"/>
    <n v="57"/>
    <s v="Nurse"/>
    <x v="26"/>
    <x v="5"/>
    <n v="75"/>
    <x v="4"/>
    <x v="0"/>
    <x v="22"/>
    <n v="68"/>
    <n v="7000"/>
    <x v="1"/>
  </r>
  <r>
    <n v="348"/>
    <x v="1"/>
    <n v="57"/>
    <s v="Nurse"/>
    <x v="26"/>
    <x v="5"/>
    <n v="75"/>
    <x v="4"/>
    <x v="0"/>
    <x v="22"/>
    <n v="68"/>
    <n v="7000"/>
    <x v="1"/>
  </r>
  <r>
    <n v="349"/>
    <x v="1"/>
    <n v="57"/>
    <s v="Nurse"/>
    <x v="26"/>
    <x v="5"/>
    <n v="75"/>
    <x v="4"/>
    <x v="0"/>
    <x v="22"/>
    <n v="68"/>
    <n v="7000"/>
    <x v="1"/>
  </r>
  <r>
    <n v="350"/>
    <x v="1"/>
    <n v="57"/>
    <s v="Nurse"/>
    <x v="22"/>
    <x v="5"/>
    <n v="75"/>
    <x v="4"/>
    <x v="0"/>
    <x v="22"/>
    <n v="68"/>
    <n v="7000"/>
    <x v="1"/>
  </r>
  <r>
    <n v="351"/>
    <x v="1"/>
    <n v="57"/>
    <s v="Nurse"/>
    <x v="22"/>
    <x v="5"/>
    <n v="75"/>
    <x v="4"/>
    <x v="0"/>
    <x v="22"/>
    <n v="68"/>
    <n v="7000"/>
    <x v="1"/>
  </r>
  <r>
    <n v="352"/>
    <x v="1"/>
    <n v="57"/>
    <s v="Nurse"/>
    <x v="22"/>
    <x v="5"/>
    <n v="75"/>
    <x v="4"/>
    <x v="0"/>
    <x v="22"/>
    <n v="68"/>
    <n v="7000"/>
    <x v="1"/>
  </r>
  <r>
    <n v="353"/>
    <x v="1"/>
    <n v="58"/>
    <s v="Nurse"/>
    <x v="20"/>
    <x v="5"/>
    <n v="75"/>
    <x v="4"/>
    <x v="0"/>
    <x v="22"/>
    <n v="68"/>
    <n v="7000"/>
    <x v="1"/>
  </r>
  <r>
    <n v="354"/>
    <x v="1"/>
    <n v="58"/>
    <s v="Nurse"/>
    <x v="20"/>
    <x v="5"/>
    <n v="75"/>
    <x v="4"/>
    <x v="0"/>
    <x v="22"/>
    <n v="68"/>
    <n v="7000"/>
    <x v="1"/>
  </r>
  <r>
    <n v="355"/>
    <x v="1"/>
    <n v="58"/>
    <s v="Nurse"/>
    <x v="20"/>
    <x v="5"/>
    <n v="75"/>
    <x v="4"/>
    <x v="0"/>
    <x v="22"/>
    <n v="68"/>
    <n v="7000"/>
    <x v="1"/>
  </r>
  <r>
    <n v="356"/>
    <x v="1"/>
    <n v="58"/>
    <s v="Nurse"/>
    <x v="20"/>
    <x v="5"/>
    <n v="75"/>
    <x v="4"/>
    <x v="0"/>
    <x v="22"/>
    <n v="68"/>
    <n v="7000"/>
    <x v="1"/>
  </r>
  <r>
    <n v="357"/>
    <x v="1"/>
    <n v="58"/>
    <s v="Nurse"/>
    <x v="20"/>
    <x v="5"/>
    <n v="75"/>
    <x v="4"/>
    <x v="0"/>
    <x v="22"/>
    <n v="68"/>
    <n v="7000"/>
    <x v="1"/>
  </r>
  <r>
    <n v="358"/>
    <x v="1"/>
    <n v="58"/>
    <s v="Nurse"/>
    <x v="20"/>
    <x v="5"/>
    <n v="75"/>
    <x v="4"/>
    <x v="0"/>
    <x v="22"/>
    <n v="68"/>
    <n v="7000"/>
    <x v="1"/>
  </r>
  <r>
    <n v="359"/>
    <x v="1"/>
    <n v="59"/>
    <s v="Nurse"/>
    <x v="20"/>
    <x v="5"/>
    <n v="75"/>
    <x v="4"/>
    <x v="0"/>
    <x v="22"/>
    <n v="68"/>
    <n v="7000"/>
    <x v="0"/>
  </r>
  <r>
    <n v="360"/>
    <x v="1"/>
    <n v="59"/>
    <s v="Nurse"/>
    <x v="22"/>
    <x v="5"/>
    <n v="75"/>
    <x v="4"/>
    <x v="0"/>
    <x v="22"/>
    <n v="68"/>
    <n v="7000"/>
    <x v="0"/>
  </r>
  <r>
    <n v="361"/>
    <x v="1"/>
    <n v="59"/>
    <s v="Nurse"/>
    <x v="26"/>
    <x v="5"/>
    <n v="75"/>
    <x v="4"/>
    <x v="0"/>
    <x v="22"/>
    <n v="68"/>
    <n v="7000"/>
    <x v="1"/>
  </r>
  <r>
    <n v="362"/>
    <x v="1"/>
    <n v="59"/>
    <s v="Nurse"/>
    <x v="26"/>
    <x v="5"/>
    <n v="75"/>
    <x v="4"/>
    <x v="0"/>
    <x v="22"/>
    <n v="68"/>
    <n v="7000"/>
    <x v="1"/>
  </r>
  <r>
    <n v="363"/>
    <x v="1"/>
    <n v="59"/>
    <s v="Nurse"/>
    <x v="26"/>
    <x v="5"/>
    <n v="75"/>
    <x v="4"/>
    <x v="0"/>
    <x v="22"/>
    <n v="68"/>
    <n v="7000"/>
    <x v="1"/>
  </r>
  <r>
    <n v="364"/>
    <x v="1"/>
    <n v="59"/>
    <s v="Nurse"/>
    <x v="26"/>
    <x v="5"/>
    <n v="75"/>
    <x v="4"/>
    <x v="0"/>
    <x v="22"/>
    <n v="68"/>
    <n v="7000"/>
    <x v="1"/>
  </r>
  <r>
    <n v="365"/>
    <x v="1"/>
    <n v="59"/>
    <s v="Nurse"/>
    <x v="20"/>
    <x v="5"/>
    <n v="75"/>
    <x v="4"/>
    <x v="0"/>
    <x v="22"/>
    <n v="68"/>
    <n v="7000"/>
    <x v="1"/>
  </r>
  <r>
    <n v="366"/>
    <x v="1"/>
    <n v="59"/>
    <s v="Nurse"/>
    <x v="20"/>
    <x v="5"/>
    <n v="75"/>
    <x v="4"/>
    <x v="0"/>
    <x v="22"/>
    <n v="68"/>
    <n v="7000"/>
    <x v="1"/>
  </r>
  <r>
    <n v="367"/>
    <x v="1"/>
    <n v="59"/>
    <s v="Nurse"/>
    <x v="22"/>
    <x v="5"/>
    <n v="75"/>
    <x v="4"/>
    <x v="0"/>
    <x v="22"/>
    <n v="68"/>
    <n v="7000"/>
    <x v="1"/>
  </r>
  <r>
    <n v="368"/>
    <x v="1"/>
    <n v="59"/>
    <s v="Nurse"/>
    <x v="20"/>
    <x v="5"/>
    <n v="75"/>
    <x v="4"/>
    <x v="0"/>
    <x v="22"/>
    <n v="68"/>
    <n v="7000"/>
    <x v="1"/>
  </r>
  <r>
    <n v="369"/>
    <x v="1"/>
    <n v="59"/>
    <s v="Nurse"/>
    <x v="22"/>
    <x v="5"/>
    <n v="75"/>
    <x v="4"/>
    <x v="0"/>
    <x v="22"/>
    <n v="68"/>
    <n v="7000"/>
    <x v="1"/>
  </r>
  <r>
    <n v="370"/>
    <x v="1"/>
    <n v="59"/>
    <s v="Nurse"/>
    <x v="22"/>
    <x v="5"/>
    <n v="75"/>
    <x v="4"/>
    <x v="0"/>
    <x v="22"/>
    <n v="68"/>
    <n v="7000"/>
    <x v="1"/>
  </r>
  <r>
    <n v="371"/>
    <x v="1"/>
    <n v="59"/>
    <s v="Nurse"/>
    <x v="20"/>
    <x v="5"/>
    <n v="75"/>
    <x v="4"/>
    <x v="0"/>
    <x v="22"/>
    <n v="68"/>
    <n v="7000"/>
    <x v="1"/>
  </r>
  <r>
    <n v="372"/>
    <x v="1"/>
    <n v="59"/>
    <s v="Nurse"/>
    <x v="22"/>
    <x v="5"/>
    <n v="75"/>
    <x v="4"/>
    <x v="0"/>
    <x v="22"/>
    <n v="68"/>
    <n v="7000"/>
    <x v="1"/>
  </r>
  <r>
    <n v="373"/>
    <x v="1"/>
    <n v="59"/>
    <s v="Nurse"/>
    <x v="22"/>
    <x v="5"/>
    <n v="75"/>
    <x v="4"/>
    <x v="0"/>
    <x v="22"/>
    <n v="68"/>
    <n v="7000"/>
    <x v="1"/>
  </r>
  <r>
    <n v="374"/>
    <x v="1"/>
    <n v="59"/>
    <s v="Nurse"/>
    <x v="22"/>
    <x v="5"/>
    <n v="75"/>
    <x v="4"/>
    <x v="0"/>
    <x v="22"/>
    <n v="68"/>
    <n v="7000"/>
    <x v="1"/>
  </r>
  <r>
    <m/>
    <x v="2"/>
    <m/>
    <m/>
    <x v="27"/>
    <x v="6"/>
    <m/>
    <x v="6"/>
    <x v="3"/>
    <x v="25"/>
    <m/>
    <m/>
    <x v="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0">
  <r>
    <x v="0"/>
    <x v="0"/>
    <n v="27"/>
    <x v="0"/>
    <s v="Software Engineer"/>
    <x v="0"/>
    <x v="0"/>
    <x v="0"/>
    <x v="0"/>
    <x v="0"/>
    <x v="0"/>
    <x v="0"/>
    <x v="0"/>
    <n v="77"/>
    <x v="0"/>
    <s v="None"/>
  </r>
  <r>
    <x v="1"/>
    <x v="0"/>
    <n v="28"/>
    <x v="0"/>
    <s v="Doctor"/>
    <x v="1"/>
    <x v="0"/>
    <x v="1"/>
    <x v="1"/>
    <x v="1"/>
    <x v="1"/>
    <x v="1"/>
    <x v="1"/>
    <n v="75"/>
    <x v="1"/>
    <s v="None"/>
  </r>
  <r>
    <x v="2"/>
    <x v="0"/>
    <n v="28"/>
    <x v="0"/>
    <s v="Doctor"/>
    <x v="1"/>
    <x v="0"/>
    <x v="1"/>
    <x v="1"/>
    <x v="1"/>
    <x v="1"/>
    <x v="1"/>
    <x v="1"/>
    <n v="75"/>
    <x v="1"/>
    <s v="None"/>
  </r>
  <r>
    <x v="3"/>
    <x v="0"/>
    <n v="28"/>
    <x v="0"/>
    <s v="Sales Representative"/>
    <x v="2"/>
    <x v="1"/>
    <x v="2"/>
    <x v="1"/>
    <x v="2"/>
    <x v="2"/>
    <x v="2"/>
    <x v="2"/>
    <n v="85"/>
    <x v="2"/>
    <s v="Sleep Apnea"/>
  </r>
  <r>
    <x v="4"/>
    <x v="0"/>
    <n v="28"/>
    <x v="0"/>
    <s v="Sales Representative"/>
    <x v="2"/>
    <x v="1"/>
    <x v="2"/>
    <x v="1"/>
    <x v="2"/>
    <x v="2"/>
    <x v="2"/>
    <x v="2"/>
    <n v="85"/>
    <x v="2"/>
    <s v="Sleep Apnea"/>
  </r>
  <r>
    <x v="5"/>
    <x v="0"/>
    <n v="28"/>
    <x v="0"/>
    <s v="Software Engineer"/>
    <x v="2"/>
    <x v="1"/>
    <x v="2"/>
    <x v="1"/>
    <x v="2"/>
    <x v="2"/>
    <x v="2"/>
    <x v="2"/>
    <n v="85"/>
    <x v="2"/>
    <s v="Insomnia"/>
  </r>
  <r>
    <x v="6"/>
    <x v="0"/>
    <n v="29"/>
    <x v="0"/>
    <s v="Teacher"/>
    <x v="3"/>
    <x v="0"/>
    <x v="3"/>
    <x v="2"/>
    <x v="2"/>
    <x v="2"/>
    <x v="2"/>
    <x v="2"/>
    <n v="82"/>
    <x v="3"/>
    <s v="Insomnia"/>
  </r>
  <r>
    <x v="7"/>
    <x v="0"/>
    <n v="29"/>
    <x v="0"/>
    <s v="Doctor"/>
    <x v="4"/>
    <x v="2"/>
    <x v="4"/>
    <x v="0"/>
    <x v="1"/>
    <x v="3"/>
    <x v="3"/>
    <x v="1"/>
    <n v="70"/>
    <x v="4"/>
    <s v="None"/>
  </r>
  <r>
    <x v="8"/>
    <x v="0"/>
    <n v="29"/>
    <x v="0"/>
    <s v="Doctor"/>
    <x v="4"/>
    <x v="2"/>
    <x v="4"/>
    <x v="0"/>
    <x v="1"/>
    <x v="3"/>
    <x v="3"/>
    <x v="1"/>
    <n v="70"/>
    <x v="4"/>
    <s v="None"/>
  </r>
  <r>
    <x v="9"/>
    <x v="0"/>
    <n v="29"/>
    <x v="0"/>
    <s v="Doctor"/>
    <x v="4"/>
    <x v="2"/>
    <x v="4"/>
    <x v="0"/>
    <x v="1"/>
    <x v="3"/>
    <x v="3"/>
    <x v="1"/>
    <n v="70"/>
    <x v="4"/>
    <s v="None"/>
  </r>
  <r>
    <x v="10"/>
    <x v="0"/>
    <n v="29"/>
    <x v="0"/>
    <s v="Doctor"/>
    <x v="0"/>
    <x v="0"/>
    <x v="2"/>
    <x v="1"/>
    <x v="1"/>
    <x v="3"/>
    <x v="3"/>
    <x v="1"/>
    <n v="70"/>
    <x v="4"/>
    <s v="None"/>
  </r>
  <r>
    <x v="11"/>
    <x v="0"/>
    <n v="29"/>
    <x v="0"/>
    <s v="Doctor"/>
    <x v="4"/>
    <x v="2"/>
    <x v="4"/>
    <x v="0"/>
    <x v="1"/>
    <x v="3"/>
    <x v="3"/>
    <x v="1"/>
    <n v="70"/>
    <x v="4"/>
    <s v="None"/>
  </r>
  <r>
    <x v="12"/>
    <x v="0"/>
    <n v="29"/>
    <x v="0"/>
    <s v="Doctor"/>
    <x v="0"/>
    <x v="0"/>
    <x v="2"/>
    <x v="1"/>
    <x v="1"/>
    <x v="3"/>
    <x v="3"/>
    <x v="1"/>
    <n v="70"/>
    <x v="4"/>
    <s v="None"/>
  </r>
  <r>
    <x v="13"/>
    <x v="0"/>
    <n v="29"/>
    <x v="0"/>
    <s v="Doctor"/>
    <x v="5"/>
    <x v="0"/>
    <x v="2"/>
    <x v="1"/>
    <x v="1"/>
    <x v="3"/>
    <x v="3"/>
    <x v="1"/>
    <n v="70"/>
    <x v="4"/>
    <s v="None"/>
  </r>
  <r>
    <x v="14"/>
    <x v="0"/>
    <n v="29"/>
    <x v="0"/>
    <s v="Doctor"/>
    <x v="5"/>
    <x v="0"/>
    <x v="2"/>
    <x v="1"/>
    <x v="1"/>
    <x v="3"/>
    <x v="3"/>
    <x v="1"/>
    <n v="70"/>
    <x v="4"/>
    <s v="None"/>
  </r>
  <r>
    <x v="15"/>
    <x v="0"/>
    <n v="29"/>
    <x v="0"/>
    <s v="Doctor"/>
    <x v="5"/>
    <x v="0"/>
    <x v="2"/>
    <x v="1"/>
    <x v="1"/>
    <x v="3"/>
    <x v="3"/>
    <x v="1"/>
    <n v="70"/>
    <x v="4"/>
    <s v="None"/>
  </r>
  <r>
    <x v="16"/>
    <x v="1"/>
    <n v="29"/>
    <x v="0"/>
    <s v="Nurse"/>
    <x v="6"/>
    <x v="3"/>
    <x v="3"/>
    <x v="2"/>
    <x v="1"/>
    <x v="4"/>
    <x v="4"/>
    <x v="3"/>
    <n v="80"/>
    <x v="5"/>
    <s v="Sleep Apnea"/>
  </r>
  <r>
    <x v="17"/>
    <x v="0"/>
    <n v="29"/>
    <x v="0"/>
    <s v="Doctor"/>
    <x v="5"/>
    <x v="0"/>
    <x v="2"/>
    <x v="1"/>
    <x v="1"/>
    <x v="3"/>
    <x v="3"/>
    <x v="1"/>
    <n v="70"/>
    <x v="4"/>
    <s v="Sleep Apnea"/>
  </r>
  <r>
    <x v="18"/>
    <x v="1"/>
    <n v="29"/>
    <x v="0"/>
    <s v="Nurse"/>
    <x v="6"/>
    <x v="3"/>
    <x v="3"/>
    <x v="2"/>
    <x v="1"/>
    <x v="4"/>
    <x v="4"/>
    <x v="3"/>
    <n v="80"/>
    <x v="5"/>
    <s v="Insomnia"/>
  </r>
  <r>
    <x v="19"/>
    <x v="0"/>
    <n v="30"/>
    <x v="0"/>
    <s v="Doctor"/>
    <x v="7"/>
    <x v="2"/>
    <x v="4"/>
    <x v="0"/>
    <x v="1"/>
    <x v="3"/>
    <x v="3"/>
    <x v="1"/>
    <n v="70"/>
    <x v="4"/>
    <s v="None"/>
  </r>
  <r>
    <x v="20"/>
    <x v="0"/>
    <n v="30"/>
    <x v="0"/>
    <s v="Doctor"/>
    <x v="8"/>
    <x v="2"/>
    <x v="4"/>
    <x v="0"/>
    <x v="1"/>
    <x v="3"/>
    <x v="3"/>
    <x v="1"/>
    <n v="70"/>
    <x v="4"/>
    <s v="None"/>
  </r>
  <r>
    <x v="21"/>
    <x v="0"/>
    <n v="30"/>
    <x v="0"/>
    <s v="Doctor"/>
    <x v="8"/>
    <x v="2"/>
    <x v="4"/>
    <x v="0"/>
    <x v="1"/>
    <x v="3"/>
    <x v="3"/>
    <x v="1"/>
    <n v="70"/>
    <x v="4"/>
    <s v="None"/>
  </r>
  <r>
    <x v="22"/>
    <x v="0"/>
    <n v="30"/>
    <x v="0"/>
    <s v="Doctor"/>
    <x v="8"/>
    <x v="2"/>
    <x v="4"/>
    <x v="0"/>
    <x v="1"/>
    <x v="3"/>
    <x v="3"/>
    <x v="1"/>
    <n v="70"/>
    <x v="4"/>
    <s v="None"/>
  </r>
  <r>
    <x v="23"/>
    <x v="0"/>
    <n v="30"/>
    <x v="0"/>
    <s v="Doctor"/>
    <x v="8"/>
    <x v="2"/>
    <x v="4"/>
    <x v="0"/>
    <x v="1"/>
    <x v="3"/>
    <x v="3"/>
    <x v="1"/>
    <n v="70"/>
    <x v="4"/>
    <s v="None"/>
  </r>
  <r>
    <x v="24"/>
    <x v="0"/>
    <n v="30"/>
    <x v="0"/>
    <s v="Doctor"/>
    <x v="4"/>
    <x v="2"/>
    <x v="4"/>
    <x v="0"/>
    <x v="1"/>
    <x v="3"/>
    <x v="3"/>
    <x v="1"/>
    <n v="70"/>
    <x v="4"/>
    <s v="None"/>
  </r>
  <r>
    <x v="25"/>
    <x v="0"/>
    <n v="30"/>
    <x v="0"/>
    <s v="Doctor"/>
    <x v="9"/>
    <x v="2"/>
    <x v="4"/>
    <x v="0"/>
    <x v="1"/>
    <x v="3"/>
    <x v="3"/>
    <x v="1"/>
    <n v="70"/>
    <x v="4"/>
    <s v="None"/>
  </r>
  <r>
    <x v="26"/>
    <x v="0"/>
    <n v="30"/>
    <x v="0"/>
    <s v="Doctor"/>
    <x v="4"/>
    <x v="2"/>
    <x v="4"/>
    <x v="0"/>
    <x v="1"/>
    <x v="3"/>
    <x v="3"/>
    <x v="1"/>
    <n v="70"/>
    <x v="4"/>
    <s v="None"/>
  </r>
  <r>
    <x v="27"/>
    <x v="0"/>
    <n v="30"/>
    <x v="0"/>
    <s v="Doctor"/>
    <x v="9"/>
    <x v="2"/>
    <x v="4"/>
    <x v="0"/>
    <x v="1"/>
    <x v="3"/>
    <x v="3"/>
    <x v="1"/>
    <n v="70"/>
    <x v="4"/>
    <s v="None"/>
  </r>
  <r>
    <x v="28"/>
    <x v="0"/>
    <n v="30"/>
    <x v="0"/>
    <s v="Doctor"/>
    <x v="9"/>
    <x v="2"/>
    <x v="4"/>
    <x v="0"/>
    <x v="1"/>
    <x v="3"/>
    <x v="3"/>
    <x v="1"/>
    <n v="70"/>
    <x v="4"/>
    <s v="None"/>
  </r>
  <r>
    <x v="29"/>
    <x v="0"/>
    <n v="30"/>
    <x v="0"/>
    <s v="Doctor"/>
    <x v="9"/>
    <x v="2"/>
    <x v="4"/>
    <x v="0"/>
    <x v="1"/>
    <x v="3"/>
    <x v="3"/>
    <x v="1"/>
    <n v="70"/>
    <x v="4"/>
    <s v="None"/>
  </r>
  <r>
    <x v="30"/>
    <x v="1"/>
    <n v="30"/>
    <x v="0"/>
    <s v="Nurse"/>
    <x v="10"/>
    <x v="3"/>
    <x v="5"/>
    <x v="2"/>
    <x v="1"/>
    <x v="5"/>
    <x v="5"/>
    <x v="4"/>
    <n v="78"/>
    <x v="6"/>
    <s v="Sleep Apnea"/>
  </r>
  <r>
    <x v="31"/>
    <x v="1"/>
    <n v="30"/>
    <x v="0"/>
    <s v="Nurse"/>
    <x v="10"/>
    <x v="3"/>
    <x v="5"/>
    <x v="2"/>
    <x v="1"/>
    <x v="5"/>
    <x v="5"/>
    <x v="4"/>
    <n v="78"/>
    <x v="6"/>
    <s v="Insomnia"/>
  </r>
  <r>
    <x v="32"/>
    <x v="1"/>
    <n v="31"/>
    <x v="0"/>
    <s v="Nurse"/>
    <x v="9"/>
    <x v="4"/>
    <x v="4"/>
    <x v="3"/>
    <x v="1"/>
    <x v="6"/>
    <x v="6"/>
    <x v="5"/>
    <n v="69"/>
    <x v="7"/>
    <s v="None"/>
  </r>
  <r>
    <x v="33"/>
    <x v="0"/>
    <n v="31"/>
    <x v="0"/>
    <s v="Doctor"/>
    <x v="0"/>
    <x v="0"/>
    <x v="2"/>
    <x v="1"/>
    <x v="1"/>
    <x v="1"/>
    <x v="1"/>
    <x v="1"/>
    <n v="72"/>
    <x v="8"/>
    <s v="None"/>
  </r>
  <r>
    <x v="34"/>
    <x v="0"/>
    <n v="31"/>
    <x v="0"/>
    <s v="Doctor"/>
    <x v="8"/>
    <x v="2"/>
    <x v="4"/>
    <x v="0"/>
    <x v="1"/>
    <x v="3"/>
    <x v="3"/>
    <x v="1"/>
    <n v="70"/>
    <x v="4"/>
    <s v="None"/>
  </r>
  <r>
    <x v="35"/>
    <x v="0"/>
    <n v="31"/>
    <x v="0"/>
    <s v="Doctor"/>
    <x v="0"/>
    <x v="0"/>
    <x v="2"/>
    <x v="1"/>
    <x v="1"/>
    <x v="1"/>
    <x v="1"/>
    <x v="1"/>
    <n v="72"/>
    <x v="8"/>
    <s v="None"/>
  </r>
  <r>
    <x v="36"/>
    <x v="0"/>
    <n v="31"/>
    <x v="0"/>
    <s v="Doctor"/>
    <x v="0"/>
    <x v="0"/>
    <x v="2"/>
    <x v="1"/>
    <x v="1"/>
    <x v="1"/>
    <x v="1"/>
    <x v="1"/>
    <n v="72"/>
    <x v="8"/>
    <s v="None"/>
  </r>
  <r>
    <x v="37"/>
    <x v="0"/>
    <n v="31"/>
    <x v="0"/>
    <s v="Doctor"/>
    <x v="7"/>
    <x v="2"/>
    <x v="4"/>
    <x v="0"/>
    <x v="1"/>
    <x v="3"/>
    <x v="3"/>
    <x v="1"/>
    <n v="70"/>
    <x v="4"/>
    <s v="None"/>
  </r>
  <r>
    <x v="38"/>
    <x v="0"/>
    <n v="31"/>
    <x v="0"/>
    <s v="Doctor"/>
    <x v="7"/>
    <x v="2"/>
    <x v="4"/>
    <x v="0"/>
    <x v="1"/>
    <x v="3"/>
    <x v="3"/>
    <x v="1"/>
    <n v="70"/>
    <x v="4"/>
    <s v="None"/>
  </r>
  <r>
    <x v="39"/>
    <x v="0"/>
    <n v="31"/>
    <x v="0"/>
    <s v="Doctor"/>
    <x v="7"/>
    <x v="2"/>
    <x v="4"/>
    <x v="0"/>
    <x v="1"/>
    <x v="3"/>
    <x v="3"/>
    <x v="1"/>
    <n v="70"/>
    <x v="4"/>
    <s v="None"/>
  </r>
  <r>
    <x v="40"/>
    <x v="0"/>
    <n v="31"/>
    <x v="0"/>
    <s v="Doctor"/>
    <x v="8"/>
    <x v="2"/>
    <x v="4"/>
    <x v="0"/>
    <x v="1"/>
    <x v="3"/>
    <x v="3"/>
    <x v="1"/>
    <n v="70"/>
    <x v="4"/>
    <s v="None"/>
  </r>
  <r>
    <x v="41"/>
    <x v="0"/>
    <n v="31"/>
    <x v="0"/>
    <s v="Doctor"/>
    <x v="8"/>
    <x v="2"/>
    <x v="4"/>
    <x v="0"/>
    <x v="1"/>
    <x v="3"/>
    <x v="3"/>
    <x v="1"/>
    <n v="70"/>
    <x v="4"/>
    <s v="None"/>
  </r>
  <r>
    <x v="42"/>
    <x v="0"/>
    <n v="31"/>
    <x v="0"/>
    <s v="Doctor"/>
    <x v="8"/>
    <x v="2"/>
    <x v="4"/>
    <x v="0"/>
    <x v="1"/>
    <x v="3"/>
    <x v="3"/>
    <x v="1"/>
    <n v="70"/>
    <x v="4"/>
    <s v="None"/>
  </r>
  <r>
    <x v="43"/>
    <x v="0"/>
    <n v="31"/>
    <x v="0"/>
    <s v="Doctor"/>
    <x v="4"/>
    <x v="2"/>
    <x v="4"/>
    <x v="0"/>
    <x v="1"/>
    <x v="3"/>
    <x v="3"/>
    <x v="1"/>
    <n v="70"/>
    <x v="4"/>
    <s v="None"/>
  </r>
  <r>
    <x v="44"/>
    <x v="0"/>
    <n v="31"/>
    <x v="0"/>
    <s v="Doctor"/>
    <x v="8"/>
    <x v="2"/>
    <x v="4"/>
    <x v="0"/>
    <x v="1"/>
    <x v="3"/>
    <x v="3"/>
    <x v="1"/>
    <n v="70"/>
    <x v="4"/>
    <s v="None"/>
  </r>
  <r>
    <x v="45"/>
    <x v="0"/>
    <n v="31"/>
    <x v="0"/>
    <s v="Doctor"/>
    <x v="4"/>
    <x v="2"/>
    <x v="4"/>
    <x v="0"/>
    <x v="1"/>
    <x v="3"/>
    <x v="3"/>
    <x v="1"/>
    <n v="70"/>
    <x v="4"/>
    <s v="None"/>
  </r>
  <r>
    <x v="46"/>
    <x v="0"/>
    <n v="31"/>
    <x v="0"/>
    <s v="Doctor"/>
    <x v="8"/>
    <x v="2"/>
    <x v="4"/>
    <x v="0"/>
    <x v="1"/>
    <x v="3"/>
    <x v="3"/>
    <x v="1"/>
    <n v="70"/>
    <x v="4"/>
    <s v="None"/>
  </r>
  <r>
    <x v="47"/>
    <x v="0"/>
    <n v="31"/>
    <x v="0"/>
    <s v="Doctor"/>
    <x v="4"/>
    <x v="2"/>
    <x v="4"/>
    <x v="0"/>
    <x v="1"/>
    <x v="3"/>
    <x v="3"/>
    <x v="1"/>
    <n v="70"/>
    <x v="4"/>
    <s v="None"/>
  </r>
  <r>
    <x v="48"/>
    <x v="0"/>
    <n v="31"/>
    <x v="0"/>
    <s v="Doctor"/>
    <x v="8"/>
    <x v="2"/>
    <x v="4"/>
    <x v="0"/>
    <x v="1"/>
    <x v="3"/>
    <x v="3"/>
    <x v="1"/>
    <n v="70"/>
    <x v="4"/>
    <s v="None"/>
  </r>
  <r>
    <x v="49"/>
    <x v="0"/>
    <n v="31"/>
    <x v="0"/>
    <s v="Doctor"/>
    <x v="8"/>
    <x v="2"/>
    <x v="4"/>
    <x v="0"/>
    <x v="1"/>
    <x v="3"/>
    <x v="3"/>
    <x v="1"/>
    <n v="70"/>
    <x v="4"/>
    <s v="Sleep Apnea"/>
  </r>
  <r>
    <x v="50"/>
    <x v="0"/>
    <n v="32"/>
    <x v="0"/>
    <s v="Engineer"/>
    <x v="11"/>
    <x v="4"/>
    <x v="6"/>
    <x v="4"/>
    <x v="1"/>
    <x v="3"/>
    <x v="3"/>
    <x v="1"/>
    <n v="70"/>
    <x v="4"/>
    <s v="None"/>
  </r>
  <r>
    <x v="51"/>
    <x v="0"/>
    <n v="32"/>
    <x v="0"/>
    <s v="Engineer"/>
    <x v="11"/>
    <x v="4"/>
    <x v="6"/>
    <x v="4"/>
    <x v="1"/>
    <x v="3"/>
    <x v="3"/>
    <x v="1"/>
    <n v="70"/>
    <x v="4"/>
    <s v="None"/>
  </r>
  <r>
    <x v="52"/>
    <x v="0"/>
    <n v="32"/>
    <x v="0"/>
    <s v="Doctor"/>
    <x v="5"/>
    <x v="0"/>
    <x v="2"/>
    <x v="1"/>
    <x v="1"/>
    <x v="1"/>
    <x v="1"/>
    <x v="1"/>
    <n v="72"/>
    <x v="8"/>
    <s v="None"/>
  </r>
  <r>
    <x v="53"/>
    <x v="0"/>
    <n v="32"/>
    <x v="0"/>
    <s v="Doctor"/>
    <x v="7"/>
    <x v="2"/>
    <x v="4"/>
    <x v="0"/>
    <x v="1"/>
    <x v="3"/>
    <x v="3"/>
    <x v="1"/>
    <n v="70"/>
    <x v="4"/>
    <s v="None"/>
  </r>
  <r>
    <x v="54"/>
    <x v="0"/>
    <n v="32"/>
    <x v="0"/>
    <s v="Doctor"/>
    <x v="5"/>
    <x v="0"/>
    <x v="2"/>
    <x v="1"/>
    <x v="1"/>
    <x v="1"/>
    <x v="1"/>
    <x v="1"/>
    <n v="72"/>
    <x v="8"/>
    <s v="None"/>
  </r>
  <r>
    <x v="55"/>
    <x v="0"/>
    <n v="32"/>
    <x v="0"/>
    <s v="Doctor"/>
    <x v="5"/>
    <x v="0"/>
    <x v="2"/>
    <x v="1"/>
    <x v="1"/>
    <x v="1"/>
    <x v="1"/>
    <x v="1"/>
    <n v="72"/>
    <x v="8"/>
    <s v="None"/>
  </r>
  <r>
    <x v="56"/>
    <x v="0"/>
    <n v="32"/>
    <x v="0"/>
    <s v="Doctor"/>
    <x v="8"/>
    <x v="2"/>
    <x v="4"/>
    <x v="0"/>
    <x v="1"/>
    <x v="3"/>
    <x v="3"/>
    <x v="1"/>
    <n v="70"/>
    <x v="4"/>
    <s v="None"/>
  </r>
  <r>
    <x v="57"/>
    <x v="0"/>
    <n v="32"/>
    <x v="0"/>
    <s v="Doctor"/>
    <x v="5"/>
    <x v="0"/>
    <x v="2"/>
    <x v="1"/>
    <x v="1"/>
    <x v="1"/>
    <x v="1"/>
    <x v="1"/>
    <n v="72"/>
    <x v="8"/>
    <s v="None"/>
  </r>
  <r>
    <x v="58"/>
    <x v="0"/>
    <n v="32"/>
    <x v="0"/>
    <s v="Doctor"/>
    <x v="5"/>
    <x v="0"/>
    <x v="2"/>
    <x v="1"/>
    <x v="1"/>
    <x v="1"/>
    <x v="1"/>
    <x v="1"/>
    <n v="72"/>
    <x v="8"/>
    <s v="None"/>
  </r>
  <r>
    <x v="59"/>
    <x v="0"/>
    <n v="32"/>
    <x v="0"/>
    <s v="Doctor"/>
    <x v="8"/>
    <x v="2"/>
    <x v="4"/>
    <x v="0"/>
    <x v="1"/>
    <x v="3"/>
    <x v="3"/>
    <x v="1"/>
    <n v="70"/>
    <x v="4"/>
    <s v="None"/>
  </r>
  <r>
    <x v="60"/>
    <x v="0"/>
    <n v="32"/>
    <x v="0"/>
    <s v="Doctor"/>
    <x v="5"/>
    <x v="0"/>
    <x v="2"/>
    <x v="1"/>
    <x v="1"/>
    <x v="1"/>
    <x v="1"/>
    <x v="1"/>
    <n v="72"/>
    <x v="8"/>
    <s v="None"/>
  </r>
  <r>
    <x v="61"/>
    <x v="0"/>
    <n v="32"/>
    <x v="0"/>
    <s v="Doctor"/>
    <x v="5"/>
    <x v="0"/>
    <x v="2"/>
    <x v="1"/>
    <x v="1"/>
    <x v="1"/>
    <x v="1"/>
    <x v="1"/>
    <n v="72"/>
    <x v="8"/>
    <s v="None"/>
  </r>
  <r>
    <x v="62"/>
    <x v="0"/>
    <n v="32"/>
    <x v="0"/>
    <s v="Doctor"/>
    <x v="1"/>
    <x v="0"/>
    <x v="2"/>
    <x v="1"/>
    <x v="1"/>
    <x v="1"/>
    <x v="1"/>
    <x v="1"/>
    <n v="72"/>
    <x v="8"/>
    <s v="None"/>
  </r>
  <r>
    <x v="63"/>
    <x v="0"/>
    <n v="32"/>
    <x v="0"/>
    <s v="Doctor"/>
    <x v="1"/>
    <x v="0"/>
    <x v="2"/>
    <x v="1"/>
    <x v="1"/>
    <x v="1"/>
    <x v="1"/>
    <x v="1"/>
    <n v="72"/>
    <x v="8"/>
    <s v="None"/>
  </r>
  <r>
    <x v="64"/>
    <x v="0"/>
    <n v="32"/>
    <x v="0"/>
    <s v="Doctor"/>
    <x v="1"/>
    <x v="0"/>
    <x v="2"/>
    <x v="1"/>
    <x v="1"/>
    <x v="1"/>
    <x v="1"/>
    <x v="1"/>
    <n v="72"/>
    <x v="8"/>
    <s v="None"/>
  </r>
  <r>
    <x v="65"/>
    <x v="0"/>
    <n v="32"/>
    <x v="0"/>
    <s v="Doctor"/>
    <x v="1"/>
    <x v="0"/>
    <x v="2"/>
    <x v="1"/>
    <x v="1"/>
    <x v="1"/>
    <x v="1"/>
    <x v="1"/>
    <n v="72"/>
    <x v="8"/>
    <s v="None"/>
  </r>
  <r>
    <x v="66"/>
    <x v="0"/>
    <n v="32"/>
    <x v="0"/>
    <s v="Accountant"/>
    <x v="12"/>
    <x v="4"/>
    <x v="7"/>
    <x v="0"/>
    <x v="1"/>
    <x v="7"/>
    <x v="7"/>
    <x v="5"/>
    <n v="68"/>
    <x v="9"/>
    <s v="None"/>
  </r>
  <r>
    <x v="67"/>
    <x v="0"/>
    <n v="33"/>
    <x v="0"/>
    <s v="Doctor"/>
    <x v="5"/>
    <x v="0"/>
    <x v="2"/>
    <x v="1"/>
    <x v="1"/>
    <x v="1"/>
    <x v="1"/>
    <x v="1"/>
    <n v="72"/>
    <x v="8"/>
    <s v="Insomnia"/>
  </r>
  <r>
    <x v="68"/>
    <x v="1"/>
    <n v="33"/>
    <x v="0"/>
    <s v="Scientist"/>
    <x v="1"/>
    <x v="0"/>
    <x v="7"/>
    <x v="0"/>
    <x v="0"/>
    <x v="8"/>
    <x v="8"/>
    <x v="6"/>
    <n v="76"/>
    <x v="10"/>
    <s v="None"/>
  </r>
  <r>
    <x v="69"/>
    <x v="1"/>
    <n v="33"/>
    <x v="0"/>
    <s v="Scientist"/>
    <x v="1"/>
    <x v="0"/>
    <x v="7"/>
    <x v="0"/>
    <x v="0"/>
    <x v="8"/>
    <x v="8"/>
    <x v="6"/>
    <n v="76"/>
    <x v="10"/>
    <s v="None"/>
  </r>
  <r>
    <x v="70"/>
    <x v="0"/>
    <n v="33"/>
    <x v="0"/>
    <s v="Doctor"/>
    <x v="0"/>
    <x v="0"/>
    <x v="2"/>
    <x v="1"/>
    <x v="1"/>
    <x v="1"/>
    <x v="1"/>
    <x v="1"/>
    <n v="72"/>
    <x v="8"/>
    <s v="None"/>
  </r>
  <r>
    <x v="71"/>
    <x v="0"/>
    <n v="33"/>
    <x v="0"/>
    <s v="Doctor"/>
    <x v="0"/>
    <x v="0"/>
    <x v="2"/>
    <x v="1"/>
    <x v="1"/>
    <x v="1"/>
    <x v="1"/>
    <x v="1"/>
    <n v="72"/>
    <x v="8"/>
    <s v="None"/>
  </r>
  <r>
    <x v="72"/>
    <x v="0"/>
    <n v="33"/>
    <x v="0"/>
    <s v="Doctor"/>
    <x v="0"/>
    <x v="0"/>
    <x v="2"/>
    <x v="1"/>
    <x v="1"/>
    <x v="1"/>
    <x v="1"/>
    <x v="1"/>
    <n v="72"/>
    <x v="8"/>
    <s v="None"/>
  </r>
  <r>
    <x v="73"/>
    <x v="0"/>
    <n v="33"/>
    <x v="0"/>
    <s v="Doctor"/>
    <x v="0"/>
    <x v="0"/>
    <x v="2"/>
    <x v="1"/>
    <x v="1"/>
    <x v="1"/>
    <x v="1"/>
    <x v="1"/>
    <n v="72"/>
    <x v="8"/>
    <s v="None"/>
  </r>
  <r>
    <x v="74"/>
    <x v="0"/>
    <n v="33"/>
    <x v="0"/>
    <s v="Doctor"/>
    <x v="5"/>
    <x v="0"/>
    <x v="2"/>
    <x v="1"/>
    <x v="1"/>
    <x v="1"/>
    <x v="1"/>
    <x v="1"/>
    <n v="72"/>
    <x v="8"/>
    <s v="None"/>
  </r>
  <r>
    <x v="75"/>
    <x v="0"/>
    <n v="33"/>
    <x v="0"/>
    <s v="Doctor"/>
    <x v="5"/>
    <x v="0"/>
    <x v="2"/>
    <x v="1"/>
    <x v="1"/>
    <x v="1"/>
    <x v="1"/>
    <x v="1"/>
    <n v="72"/>
    <x v="8"/>
    <s v="None"/>
  </r>
  <r>
    <x v="76"/>
    <x v="0"/>
    <n v="33"/>
    <x v="0"/>
    <s v="Doctor"/>
    <x v="5"/>
    <x v="0"/>
    <x v="2"/>
    <x v="1"/>
    <x v="1"/>
    <x v="1"/>
    <x v="1"/>
    <x v="1"/>
    <n v="72"/>
    <x v="8"/>
    <s v="None"/>
  </r>
  <r>
    <x v="77"/>
    <x v="0"/>
    <n v="33"/>
    <x v="0"/>
    <s v="Doctor"/>
    <x v="5"/>
    <x v="0"/>
    <x v="2"/>
    <x v="1"/>
    <x v="1"/>
    <x v="1"/>
    <x v="1"/>
    <x v="1"/>
    <n v="72"/>
    <x v="8"/>
    <s v="None"/>
  </r>
  <r>
    <x v="78"/>
    <x v="0"/>
    <n v="33"/>
    <x v="0"/>
    <s v="Doctor"/>
    <x v="5"/>
    <x v="0"/>
    <x v="2"/>
    <x v="1"/>
    <x v="1"/>
    <x v="1"/>
    <x v="1"/>
    <x v="1"/>
    <n v="72"/>
    <x v="8"/>
    <s v="None"/>
  </r>
  <r>
    <x v="79"/>
    <x v="0"/>
    <n v="33"/>
    <x v="0"/>
    <s v="Doctor"/>
    <x v="5"/>
    <x v="0"/>
    <x v="2"/>
    <x v="1"/>
    <x v="1"/>
    <x v="1"/>
    <x v="1"/>
    <x v="1"/>
    <n v="72"/>
    <x v="8"/>
    <s v="None"/>
  </r>
  <r>
    <x v="80"/>
    <x v="1"/>
    <n v="34"/>
    <x v="0"/>
    <s v="Scientist"/>
    <x v="13"/>
    <x v="1"/>
    <x v="8"/>
    <x v="1"/>
    <x v="0"/>
    <x v="9"/>
    <x v="9"/>
    <x v="4"/>
    <n v="81"/>
    <x v="11"/>
    <s v="Sleep Apnea"/>
  </r>
  <r>
    <x v="81"/>
    <x v="1"/>
    <n v="34"/>
    <x v="0"/>
    <s v="Scientist"/>
    <x v="13"/>
    <x v="1"/>
    <x v="8"/>
    <x v="1"/>
    <x v="0"/>
    <x v="9"/>
    <x v="9"/>
    <x v="4"/>
    <n v="81"/>
    <x v="11"/>
    <s v="Sleep Apnea"/>
  </r>
  <r>
    <x v="82"/>
    <x v="0"/>
    <n v="35"/>
    <x v="1"/>
    <s v="Teacher"/>
    <x v="14"/>
    <x v="2"/>
    <x v="3"/>
    <x v="5"/>
    <x v="0"/>
    <x v="10"/>
    <x v="8"/>
    <x v="7"/>
    <n v="70"/>
    <x v="12"/>
    <s v="None"/>
  </r>
  <r>
    <x v="83"/>
    <x v="0"/>
    <n v="35"/>
    <x v="1"/>
    <s v="Teacher"/>
    <x v="14"/>
    <x v="2"/>
    <x v="3"/>
    <x v="5"/>
    <x v="0"/>
    <x v="10"/>
    <x v="8"/>
    <x v="7"/>
    <n v="70"/>
    <x v="12"/>
    <s v="None"/>
  </r>
  <r>
    <x v="84"/>
    <x v="0"/>
    <n v="35"/>
    <x v="1"/>
    <s v="Software Engineer"/>
    <x v="11"/>
    <x v="4"/>
    <x v="1"/>
    <x v="5"/>
    <x v="1"/>
    <x v="3"/>
    <x v="3"/>
    <x v="1"/>
    <n v="70"/>
    <x v="4"/>
    <s v="None"/>
  </r>
  <r>
    <x v="85"/>
    <x v="1"/>
    <n v="35"/>
    <x v="1"/>
    <s v="Accountant"/>
    <x v="12"/>
    <x v="4"/>
    <x v="1"/>
    <x v="3"/>
    <x v="1"/>
    <x v="11"/>
    <x v="10"/>
    <x v="8"/>
    <n v="68"/>
    <x v="9"/>
    <s v="None"/>
  </r>
  <r>
    <x v="86"/>
    <x v="0"/>
    <n v="35"/>
    <x v="1"/>
    <s v="Engineer"/>
    <x v="12"/>
    <x v="4"/>
    <x v="1"/>
    <x v="3"/>
    <x v="1"/>
    <x v="1"/>
    <x v="1"/>
    <x v="1"/>
    <n v="65"/>
    <x v="8"/>
    <s v="None"/>
  </r>
  <r>
    <x v="87"/>
    <x v="0"/>
    <n v="35"/>
    <x v="1"/>
    <s v="Engineer"/>
    <x v="12"/>
    <x v="4"/>
    <x v="1"/>
    <x v="3"/>
    <x v="1"/>
    <x v="1"/>
    <x v="1"/>
    <x v="1"/>
    <n v="65"/>
    <x v="8"/>
    <s v="None"/>
  </r>
  <r>
    <x v="88"/>
    <x v="0"/>
    <n v="35"/>
    <x v="1"/>
    <s v="Engineer"/>
    <x v="15"/>
    <x v="4"/>
    <x v="1"/>
    <x v="3"/>
    <x v="1"/>
    <x v="1"/>
    <x v="1"/>
    <x v="1"/>
    <n v="65"/>
    <x v="8"/>
    <s v="None"/>
  </r>
  <r>
    <x v="89"/>
    <x v="0"/>
    <n v="35"/>
    <x v="1"/>
    <s v="Engineer"/>
    <x v="15"/>
    <x v="4"/>
    <x v="1"/>
    <x v="3"/>
    <x v="1"/>
    <x v="1"/>
    <x v="1"/>
    <x v="1"/>
    <n v="65"/>
    <x v="8"/>
    <s v="None"/>
  </r>
  <r>
    <x v="90"/>
    <x v="0"/>
    <n v="35"/>
    <x v="1"/>
    <s v="Engineer"/>
    <x v="15"/>
    <x v="4"/>
    <x v="1"/>
    <x v="3"/>
    <x v="1"/>
    <x v="1"/>
    <x v="1"/>
    <x v="1"/>
    <n v="65"/>
    <x v="8"/>
    <s v="None"/>
  </r>
  <r>
    <x v="91"/>
    <x v="0"/>
    <n v="35"/>
    <x v="1"/>
    <s v="Engineer"/>
    <x v="15"/>
    <x v="4"/>
    <x v="1"/>
    <x v="3"/>
    <x v="1"/>
    <x v="1"/>
    <x v="1"/>
    <x v="1"/>
    <n v="65"/>
    <x v="8"/>
    <s v="None"/>
  </r>
  <r>
    <x v="92"/>
    <x v="0"/>
    <n v="35"/>
    <x v="1"/>
    <s v="Software Engineer"/>
    <x v="11"/>
    <x v="4"/>
    <x v="1"/>
    <x v="5"/>
    <x v="1"/>
    <x v="3"/>
    <x v="3"/>
    <x v="1"/>
    <n v="70"/>
    <x v="4"/>
    <s v="None"/>
  </r>
  <r>
    <x v="93"/>
    <x v="0"/>
    <n v="35"/>
    <x v="1"/>
    <s v="Lawyer"/>
    <x v="16"/>
    <x v="2"/>
    <x v="1"/>
    <x v="5"/>
    <x v="2"/>
    <x v="12"/>
    <x v="11"/>
    <x v="9"/>
    <n v="84"/>
    <x v="13"/>
    <s v="Sleep Apnea"/>
  </r>
  <r>
    <x v="94"/>
    <x v="1"/>
    <n v="36"/>
    <x v="1"/>
    <s v="Accountant"/>
    <x v="12"/>
    <x v="4"/>
    <x v="1"/>
    <x v="3"/>
    <x v="1"/>
    <x v="11"/>
    <x v="10"/>
    <x v="8"/>
    <n v="68"/>
    <x v="9"/>
    <s v="Insomnia"/>
  </r>
  <r>
    <x v="95"/>
    <x v="1"/>
    <n v="36"/>
    <x v="1"/>
    <s v="Accountant"/>
    <x v="17"/>
    <x v="4"/>
    <x v="1"/>
    <x v="3"/>
    <x v="1"/>
    <x v="11"/>
    <x v="10"/>
    <x v="8"/>
    <n v="68"/>
    <x v="9"/>
    <s v="None"/>
  </r>
  <r>
    <x v="96"/>
    <x v="1"/>
    <n v="36"/>
    <x v="1"/>
    <s v="Accountant"/>
    <x v="12"/>
    <x v="4"/>
    <x v="1"/>
    <x v="3"/>
    <x v="1"/>
    <x v="11"/>
    <x v="10"/>
    <x v="8"/>
    <n v="68"/>
    <x v="9"/>
    <s v="None"/>
  </r>
  <r>
    <x v="97"/>
    <x v="1"/>
    <n v="36"/>
    <x v="1"/>
    <s v="Accountant"/>
    <x v="17"/>
    <x v="4"/>
    <x v="1"/>
    <x v="3"/>
    <x v="1"/>
    <x v="11"/>
    <x v="10"/>
    <x v="8"/>
    <n v="68"/>
    <x v="9"/>
    <s v="None"/>
  </r>
  <r>
    <x v="98"/>
    <x v="1"/>
    <n v="36"/>
    <x v="1"/>
    <s v="Teacher"/>
    <x v="17"/>
    <x v="4"/>
    <x v="1"/>
    <x v="3"/>
    <x v="1"/>
    <x v="11"/>
    <x v="10"/>
    <x v="8"/>
    <n v="68"/>
    <x v="9"/>
    <s v="None"/>
  </r>
  <r>
    <x v="99"/>
    <x v="1"/>
    <n v="36"/>
    <x v="1"/>
    <s v="Teacher"/>
    <x v="17"/>
    <x v="4"/>
    <x v="1"/>
    <x v="3"/>
    <x v="1"/>
    <x v="11"/>
    <x v="10"/>
    <x v="8"/>
    <n v="68"/>
    <x v="9"/>
    <s v="None"/>
  </r>
  <r>
    <x v="100"/>
    <x v="1"/>
    <n v="36"/>
    <x v="1"/>
    <s v="Teacher"/>
    <x v="12"/>
    <x v="4"/>
    <x v="1"/>
    <x v="3"/>
    <x v="1"/>
    <x v="11"/>
    <x v="10"/>
    <x v="8"/>
    <n v="68"/>
    <x v="9"/>
    <s v="None"/>
  </r>
  <r>
    <x v="101"/>
    <x v="1"/>
    <n v="36"/>
    <x v="1"/>
    <s v="Teacher"/>
    <x v="12"/>
    <x v="4"/>
    <x v="1"/>
    <x v="3"/>
    <x v="1"/>
    <x v="11"/>
    <x v="10"/>
    <x v="8"/>
    <n v="68"/>
    <x v="9"/>
    <s v="None"/>
  </r>
  <r>
    <x v="102"/>
    <x v="1"/>
    <n v="36"/>
    <x v="1"/>
    <s v="Teacher"/>
    <x v="12"/>
    <x v="4"/>
    <x v="1"/>
    <x v="3"/>
    <x v="1"/>
    <x v="11"/>
    <x v="10"/>
    <x v="8"/>
    <n v="68"/>
    <x v="9"/>
    <s v="None"/>
  </r>
  <r>
    <x v="103"/>
    <x v="0"/>
    <n v="36"/>
    <x v="1"/>
    <s v="Teacher"/>
    <x v="18"/>
    <x v="3"/>
    <x v="5"/>
    <x v="2"/>
    <x v="0"/>
    <x v="13"/>
    <x v="12"/>
    <x v="7"/>
    <n v="74"/>
    <x v="14"/>
    <s v="Sleep Apnea"/>
  </r>
  <r>
    <x v="104"/>
    <x v="1"/>
    <n v="36"/>
    <x v="1"/>
    <s v="Teacher"/>
    <x v="12"/>
    <x v="4"/>
    <x v="1"/>
    <x v="3"/>
    <x v="1"/>
    <x v="11"/>
    <x v="10"/>
    <x v="8"/>
    <n v="68"/>
    <x v="9"/>
    <s v="Sleep Apnea"/>
  </r>
  <r>
    <x v="105"/>
    <x v="0"/>
    <n v="36"/>
    <x v="1"/>
    <s v="Teacher"/>
    <x v="18"/>
    <x v="3"/>
    <x v="5"/>
    <x v="2"/>
    <x v="0"/>
    <x v="13"/>
    <x v="12"/>
    <x v="7"/>
    <n v="74"/>
    <x v="14"/>
    <s v="Insomnia"/>
  </r>
  <r>
    <x v="106"/>
    <x v="1"/>
    <n v="37"/>
    <x v="1"/>
    <s v="Nurse"/>
    <x v="0"/>
    <x v="0"/>
    <x v="0"/>
    <x v="0"/>
    <x v="0"/>
    <x v="0"/>
    <x v="0"/>
    <x v="0"/>
    <n v="77"/>
    <x v="0"/>
    <s v="None"/>
  </r>
  <r>
    <x v="107"/>
    <x v="0"/>
    <n v="37"/>
    <x v="1"/>
    <s v="Engineer"/>
    <x v="4"/>
    <x v="4"/>
    <x v="9"/>
    <x v="3"/>
    <x v="1"/>
    <x v="3"/>
    <x v="3"/>
    <x v="1"/>
    <n v="68"/>
    <x v="9"/>
    <s v="None"/>
  </r>
  <r>
    <x v="108"/>
    <x v="0"/>
    <n v="37"/>
    <x v="1"/>
    <s v="Engineer"/>
    <x v="4"/>
    <x v="4"/>
    <x v="9"/>
    <x v="3"/>
    <x v="1"/>
    <x v="3"/>
    <x v="3"/>
    <x v="1"/>
    <n v="68"/>
    <x v="9"/>
    <s v="None"/>
  </r>
  <r>
    <x v="109"/>
    <x v="0"/>
    <n v="37"/>
    <x v="1"/>
    <s v="Lawyer"/>
    <x v="16"/>
    <x v="4"/>
    <x v="1"/>
    <x v="5"/>
    <x v="1"/>
    <x v="14"/>
    <x v="5"/>
    <x v="6"/>
    <n v="68"/>
    <x v="4"/>
    <s v="None"/>
  </r>
  <r>
    <x v="110"/>
    <x v="1"/>
    <n v="37"/>
    <x v="1"/>
    <s v="Accountant"/>
    <x v="12"/>
    <x v="4"/>
    <x v="1"/>
    <x v="3"/>
    <x v="1"/>
    <x v="11"/>
    <x v="10"/>
    <x v="8"/>
    <n v="68"/>
    <x v="9"/>
    <s v="None"/>
  </r>
  <r>
    <x v="111"/>
    <x v="0"/>
    <n v="37"/>
    <x v="1"/>
    <s v="Lawyer"/>
    <x v="16"/>
    <x v="4"/>
    <x v="1"/>
    <x v="5"/>
    <x v="1"/>
    <x v="14"/>
    <x v="5"/>
    <x v="6"/>
    <n v="68"/>
    <x v="4"/>
    <s v="None"/>
  </r>
  <r>
    <x v="112"/>
    <x v="1"/>
    <n v="37"/>
    <x v="1"/>
    <s v="Accountant"/>
    <x v="12"/>
    <x v="4"/>
    <x v="1"/>
    <x v="3"/>
    <x v="1"/>
    <x v="11"/>
    <x v="10"/>
    <x v="8"/>
    <n v="68"/>
    <x v="9"/>
    <s v="None"/>
  </r>
  <r>
    <x v="113"/>
    <x v="0"/>
    <n v="37"/>
    <x v="1"/>
    <s v="Lawyer"/>
    <x v="16"/>
    <x v="4"/>
    <x v="1"/>
    <x v="5"/>
    <x v="1"/>
    <x v="14"/>
    <x v="5"/>
    <x v="6"/>
    <n v="68"/>
    <x v="4"/>
    <s v="None"/>
  </r>
  <r>
    <x v="114"/>
    <x v="1"/>
    <n v="37"/>
    <x v="1"/>
    <s v="Accountant"/>
    <x v="12"/>
    <x v="4"/>
    <x v="1"/>
    <x v="3"/>
    <x v="1"/>
    <x v="11"/>
    <x v="10"/>
    <x v="8"/>
    <n v="68"/>
    <x v="9"/>
    <s v="None"/>
  </r>
  <r>
    <x v="115"/>
    <x v="1"/>
    <n v="37"/>
    <x v="1"/>
    <s v="Accountant"/>
    <x v="12"/>
    <x v="4"/>
    <x v="1"/>
    <x v="3"/>
    <x v="1"/>
    <x v="11"/>
    <x v="10"/>
    <x v="8"/>
    <n v="68"/>
    <x v="9"/>
    <s v="None"/>
  </r>
  <r>
    <x v="116"/>
    <x v="1"/>
    <n v="37"/>
    <x v="1"/>
    <s v="Accountant"/>
    <x v="12"/>
    <x v="4"/>
    <x v="1"/>
    <x v="3"/>
    <x v="1"/>
    <x v="11"/>
    <x v="10"/>
    <x v="8"/>
    <n v="68"/>
    <x v="9"/>
    <s v="None"/>
  </r>
  <r>
    <x v="117"/>
    <x v="1"/>
    <n v="37"/>
    <x v="1"/>
    <s v="Accountant"/>
    <x v="12"/>
    <x v="4"/>
    <x v="1"/>
    <x v="3"/>
    <x v="1"/>
    <x v="11"/>
    <x v="10"/>
    <x v="8"/>
    <n v="68"/>
    <x v="9"/>
    <s v="None"/>
  </r>
  <r>
    <x v="118"/>
    <x v="1"/>
    <n v="37"/>
    <x v="1"/>
    <s v="Accountant"/>
    <x v="12"/>
    <x v="4"/>
    <x v="1"/>
    <x v="3"/>
    <x v="1"/>
    <x v="11"/>
    <x v="10"/>
    <x v="8"/>
    <n v="68"/>
    <x v="9"/>
    <s v="None"/>
  </r>
  <r>
    <x v="119"/>
    <x v="1"/>
    <n v="37"/>
    <x v="1"/>
    <s v="Accountant"/>
    <x v="12"/>
    <x v="4"/>
    <x v="1"/>
    <x v="3"/>
    <x v="1"/>
    <x v="11"/>
    <x v="10"/>
    <x v="8"/>
    <n v="68"/>
    <x v="9"/>
    <s v="None"/>
  </r>
  <r>
    <x v="120"/>
    <x v="1"/>
    <n v="37"/>
    <x v="1"/>
    <s v="Accountant"/>
    <x v="12"/>
    <x v="4"/>
    <x v="1"/>
    <x v="3"/>
    <x v="1"/>
    <x v="11"/>
    <x v="10"/>
    <x v="8"/>
    <n v="68"/>
    <x v="9"/>
    <s v="None"/>
  </r>
  <r>
    <x v="121"/>
    <x v="1"/>
    <n v="37"/>
    <x v="1"/>
    <s v="Accountant"/>
    <x v="12"/>
    <x v="4"/>
    <x v="1"/>
    <x v="3"/>
    <x v="1"/>
    <x v="11"/>
    <x v="10"/>
    <x v="8"/>
    <n v="68"/>
    <x v="9"/>
    <s v="None"/>
  </r>
  <r>
    <x v="122"/>
    <x v="1"/>
    <n v="37"/>
    <x v="1"/>
    <s v="Accountant"/>
    <x v="12"/>
    <x v="4"/>
    <x v="1"/>
    <x v="3"/>
    <x v="1"/>
    <x v="11"/>
    <x v="10"/>
    <x v="8"/>
    <n v="68"/>
    <x v="9"/>
    <s v="None"/>
  </r>
  <r>
    <x v="123"/>
    <x v="1"/>
    <n v="37"/>
    <x v="1"/>
    <s v="Accountant"/>
    <x v="12"/>
    <x v="4"/>
    <x v="1"/>
    <x v="3"/>
    <x v="1"/>
    <x v="11"/>
    <x v="10"/>
    <x v="8"/>
    <n v="68"/>
    <x v="9"/>
    <s v="None"/>
  </r>
  <r>
    <x v="124"/>
    <x v="1"/>
    <n v="37"/>
    <x v="1"/>
    <s v="Accountant"/>
    <x v="12"/>
    <x v="4"/>
    <x v="1"/>
    <x v="3"/>
    <x v="1"/>
    <x v="11"/>
    <x v="10"/>
    <x v="8"/>
    <n v="68"/>
    <x v="9"/>
    <s v="None"/>
  </r>
  <r>
    <x v="125"/>
    <x v="1"/>
    <n v="37"/>
    <x v="1"/>
    <s v="Nurse"/>
    <x v="11"/>
    <x v="4"/>
    <x v="1"/>
    <x v="3"/>
    <x v="1"/>
    <x v="3"/>
    <x v="3"/>
    <x v="1"/>
    <n v="70"/>
    <x v="4"/>
    <s v="None"/>
  </r>
  <r>
    <x v="126"/>
    <x v="0"/>
    <n v="38"/>
    <x v="1"/>
    <s v="Lawyer"/>
    <x v="15"/>
    <x v="4"/>
    <x v="1"/>
    <x v="5"/>
    <x v="1"/>
    <x v="14"/>
    <x v="5"/>
    <x v="6"/>
    <n v="68"/>
    <x v="4"/>
    <s v="None"/>
  </r>
  <r>
    <x v="127"/>
    <x v="1"/>
    <n v="38"/>
    <x v="1"/>
    <s v="Accountant"/>
    <x v="17"/>
    <x v="4"/>
    <x v="1"/>
    <x v="3"/>
    <x v="1"/>
    <x v="11"/>
    <x v="10"/>
    <x v="8"/>
    <n v="68"/>
    <x v="9"/>
    <s v="None"/>
  </r>
  <r>
    <x v="128"/>
    <x v="0"/>
    <n v="38"/>
    <x v="1"/>
    <s v="Lawyer"/>
    <x v="15"/>
    <x v="4"/>
    <x v="1"/>
    <x v="5"/>
    <x v="1"/>
    <x v="14"/>
    <x v="5"/>
    <x v="6"/>
    <n v="68"/>
    <x v="4"/>
    <s v="None"/>
  </r>
  <r>
    <x v="129"/>
    <x v="0"/>
    <n v="38"/>
    <x v="1"/>
    <s v="Lawyer"/>
    <x v="15"/>
    <x v="4"/>
    <x v="1"/>
    <x v="5"/>
    <x v="1"/>
    <x v="14"/>
    <x v="5"/>
    <x v="6"/>
    <n v="68"/>
    <x v="4"/>
    <s v="None"/>
  </r>
  <r>
    <x v="130"/>
    <x v="1"/>
    <n v="38"/>
    <x v="1"/>
    <s v="Accountant"/>
    <x v="17"/>
    <x v="4"/>
    <x v="1"/>
    <x v="3"/>
    <x v="1"/>
    <x v="11"/>
    <x v="10"/>
    <x v="8"/>
    <n v="68"/>
    <x v="9"/>
    <s v="None"/>
  </r>
  <r>
    <x v="131"/>
    <x v="0"/>
    <n v="38"/>
    <x v="1"/>
    <s v="Lawyer"/>
    <x v="15"/>
    <x v="4"/>
    <x v="1"/>
    <x v="5"/>
    <x v="1"/>
    <x v="14"/>
    <x v="5"/>
    <x v="6"/>
    <n v="68"/>
    <x v="4"/>
    <s v="None"/>
  </r>
  <r>
    <x v="132"/>
    <x v="0"/>
    <n v="38"/>
    <x v="1"/>
    <s v="Lawyer"/>
    <x v="15"/>
    <x v="4"/>
    <x v="1"/>
    <x v="5"/>
    <x v="1"/>
    <x v="14"/>
    <x v="5"/>
    <x v="6"/>
    <n v="68"/>
    <x v="4"/>
    <s v="None"/>
  </r>
  <r>
    <x v="133"/>
    <x v="1"/>
    <n v="38"/>
    <x v="1"/>
    <s v="Accountant"/>
    <x v="17"/>
    <x v="4"/>
    <x v="1"/>
    <x v="3"/>
    <x v="1"/>
    <x v="11"/>
    <x v="10"/>
    <x v="8"/>
    <n v="68"/>
    <x v="9"/>
    <s v="None"/>
  </r>
  <r>
    <x v="134"/>
    <x v="0"/>
    <n v="38"/>
    <x v="1"/>
    <s v="Lawyer"/>
    <x v="15"/>
    <x v="4"/>
    <x v="1"/>
    <x v="5"/>
    <x v="1"/>
    <x v="14"/>
    <x v="5"/>
    <x v="6"/>
    <n v="68"/>
    <x v="4"/>
    <s v="None"/>
  </r>
  <r>
    <x v="135"/>
    <x v="0"/>
    <n v="38"/>
    <x v="1"/>
    <s v="Lawyer"/>
    <x v="15"/>
    <x v="4"/>
    <x v="1"/>
    <x v="5"/>
    <x v="1"/>
    <x v="14"/>
    <x v="5"/>
    <x v="6"/>
    <n v="68"/>
    <x v="4"/>
    <s v="None"/>
  </r>
  <r>
    <x v="136"/>
    <x v="1"/>
    <n v="38"/>
    <x v="1"/>
    <s v="Accountant"/>
    <x v="17"/>
    <x v="4"/>
    <x v="1"/>
    <x v="3"/>
    <x v="1"/>
    <x v="11"/>
    <x v="10"/>
    <x v="8"/>
    <n v="68"/>
    <x v="9"/>
    <s v="None"/>
  </r>
  <r>
    <x v="137"/>
    <x v="0"/>
    <n v="38"/>
    <x v="1"/>
    <s v="Lawyer"/>
    <x v="17"/>
    <x v="4"/>
    <x v="1"/>
    <x v="5"/>
    <x v="1"/>
    <x v="14"/>
    <x v="5"/>
    <x v="6"/>
    <n v="68"/>
    <x v="4"/>
    <s v="None"/>
  </r>
  <r>
    <x v="138"/>
    <x v="1"/>
    <n v="38"/>
    <x v="1"/>
    <s v="Accountant"/>
    <x v="17"/>
    <x v="4"/>
    <x v="1"/>
    <x v="3"/>
    <x v="1"/>
    <x v="11"/>
    <x v="10"/>
    <x v="8"/>
    <n v="68"/>
    <x v="9"/>
    <s v="None"/>
  </r>
  <r>
    <x v="139"/>
    <x v="0"/>
    <n v="38"/>
    <x v="1"/>
    <s v="Lawyer"/>
    <x v="17"/>
    <x v="4"/>
    <x v="1"/>
    <x v="5"/>
    <x v="1"/>
    <x v="14"/>
    <x v="5"/>
    <x v="6"/>
    <n v="68"/>
    <x v="4"/>
    <s v="None"/>
  </r>
  <r>
    <x v="140"/>
    <x v="1"/>
    <n v="38"/>
    <x v="1"/>
    <s v="Accountant"/>
    <x v="17"/>
    <x v="4"/>
    <x v="1"/>
    <x v="3"/>
    <x v="1"/>
    <x v="11"/>
    <x v="10"/>
    <x v="8"/>
    <n v="68"/>
    <x v="9"/>
    <s v="None"/>
  </r>
  <r>
    <x v="141"/>
    <x v="0"/>
    <n v="38"/>
    <x v="1"/>
    <s v="Lawyer"/>
    <x v="17"/>
    <x v="4"/>
    <x v="1"/>
    <x v="5"/>
    <x v="1"/>
    <x v="14"/>
    <x v="5"/>
    <x v="6"/>
    <n v="68"/>
    <x v="4"/>
    <s v="None"/>
  </r>
  <r>
    <x v="142"/>
    <x v="1"/>
    <n v="38"/>
    <x v="1"/>
    <s v="Accountant"/>
    <x v="17"/>
    <x v="4"/>
    <x v="1"/>
    <x v="3"/>
    <x v="1"/>
    <x v="11"/>
    <x v="10"/>
    <x v="8"/>
    <n v="68"/>
    <x v="9"/>
    <s v="None"/>
  </r>
  <r>
    <x v="143"/>
    <x v="1"/>
    <n v="38"/>
    <x v="1"/>
    <s v="Accountant"/>
    <x v="17"/>
    <x v="4"/>
    <x v="1"/>
    <x v="3"/>
    <x v="1"/>
    <x v="11"/>
    <x v="10"/>
    <x v="8"/>
    <n v="68"/>
    <x v="9"/>
    <s v="None"/>
  </r>
  <r>
    <x v="144"/>
    <x v="0"/>
    <n v="38"/>
    <x v="1"/>
    <s v="Lawyer"/>
    <x v="17"/>
    <x v="4"/>
    <x v="1"/>
    <x v="5"/>
    <x v="1"/>
    <x v="14"/>
    <x v="5"/>
    <x v="6"/>
    <n v="68"/>
    <x v="4"/>
    <s v="Sleep Apnea"/>
  </r>
  <r>
    <x v="145"/>
    <x v="1"/>
    <n v="38"/>
    <x v="1"/>
    <s v="Lawyer"/>
    <x v="16"/>
    <x v="2"/>
    <x v="1"/>
    <x v="5"/>
    <x v="2"/>
    <x v="12"/>
    <x v="11"/>
    <x v="9"/>
    <n v="84"/>
    <x v="13"/>
    <s v="Sleep Apnea"/>
  </r>
  <r>
    <x v="146"/>
    <x v="0"/>
    <n v="39"/>
    <x v="1"/>
    <s v="Lawyer"/>
    <x v="12"/>
    <x v="4"/>
    <x v="1"/>
    <x v="5"/>
    <x v="1"/>
    <x v="14"/>
    <x v="5"/>
    <x v="6"/>
    <n v="68"/>
    <x v="4"/>
    <s v="Insomnia"/>
  </r>
  <r>
    <x v="147"/>
    <x v="0"/>
    <n v="39"/>
    <x v="1"/>
    <s v="Engineer"/>
    <x v="6"/>
    <x v="3"/>
    <x v="3"/>
    <x v="2"/>
    <x v="0"/>
    <x v="4"/>
    <x v="4"/>
    <x v="3"/>
    <n v="80"/>
    <x v="5"/>
    <s v="Insomnia"/>
  </r>
  <r>
    <x v="148"/>
    <x v="1"/>
    <n v="39"/>
    <x v="1"/>
    <s v="Lawyer"/>
    <x v="19"/>
    <x v="2"/>
    <x v="7"/>
    <x v="0"/>
    <x v="1"/>
    <x v="8"/>
    <x v="8"/>
    <x v="6"/>
    <n v="75"/>
    <x v="10"/>
    <s v="None"/>
  </r>
  <r>
    <x v="149"/>
    <x v="1"/>
    <n v="39"/>
    <x v="1"/>
    <s v="Accountant"/>
    <x v="20"/>
    <x v="5"/>
    <x v="10"/>
    <x v="4"/>
    <x v="1"/>
    <x v="15"/>
    <x v="10"/>
    <x v="10"/>
    <n v="67"/>
    <x v="15"/>
    <s v="None"/>
  </r>
  <r>
    <x v="150"/>
    <x v="1"/>
    <n v="39"/>
    <x v="1"/>
    <s v="Accountant"/>
    <x v="20"/>
    <x v="5"/>
    <x v="10"/>
    <x v="4"/>
    <x v="1"/>
    <x v="15"/>
    <x v="10"/>
    <x v="10"/>
    <n v="67"/>
    <x v="15"/>
    <s v="None"/>
  </r>
  <r>
    <x v="151"/>
    <x v="0"/>
    <n v="39"/>
    <x v="1"/>
    <s v="Lawyer"/>
    <x v="12"/>
    <x v="4"/>
    <x v="1"/>
    <x v="5"/>
    <x v="1"/>
    <x v="14"/>
    <x v="5"/>
    <x v="6"/>
    <n v="68"/>
    <x v="4"/>
    <s v="None"/>
  </r>
  <r>
    <x v="152"/>
    <x v="0"/>
    <n v="39"/>
    <x v="1"/>
    <s v="Lawyer"/>
    <x v="12"/>
    <x v="4"/>
    <x v="1"/>
    <x v="5"/>
    <x v="1"/>
    <x v="14"/>
    <x v="5"/>
    <x v="6"/>
    <n v="68"/>
    <x v="4"/>
    <s v="None"/>
  </r>
  <r>
    <x v="153"/>
    <x v="0"/>
    <n v="39"/>
    <x v="1"/>
    <s v="Lawyer"/>
    <x v="12"/>
    <x v="4"/>
    <x v="1"/>
    <x v="5"/>
    <x v="1"/>
    <x v="14"/>
    <x v="5"/>
    <x v="6"/>
    <n v="68"/>
    <x v="4"/>
    <s v="None"/>
  </r>
  <r>
    <x v="154"/>
    <x v="0"/>
    <n v="39"/>
    <x v="1"/>
    <s v="Lawyer"/>
    <x v="12"/>
    <x v="4"/>
    <x v="1"/>
    <x v="5"/>
    <x v="1"/>
    <x v="14"/>
    <x v="5"/>
    <x v="6"/>
    <n v="68"/>
    <x v="4"/>
    <s v="None"/>
  </r>
  <r>
    <x v="155"/>
    <x v="0"/>
    <n v="39"/>
    <x v="1"/>
    <s v="Lawyer"/>
    <x v="12"/>
    <x v="4"/>
    <x v="1"/>
    <x v="5"/>
    <x v="1"/>
    <x v="14"/>
    <x v="5"/>
    <x v="6"/>
    <n v="68"/>
    <x v="4"/>
    <s v="None"/>
  </r>
  <r>
    <x v="156"/>
    <x v="0"/>
    <n v="39"/>
    <x v="1"/>
    <s v="Lawyer"/>
    <x v="12"/>
    <x v="4"/>
    <x v="1"/>
    <x v="5"/>
    <x v="1"/>
    <x v="14"/>
    <x v="5"/>
    <x v="6"/>
    <n v="68"/>
    <x v="4"/>
    <s v="None"/>
  </r>
  <r>
    <x v="157"/>
    <x v="0"/>
    <n v="39"/>
    <x v="1"/>
    <s v="Lawyer"/>
    <x v="12"/>
    <x v="4"/>
    <x v="1"/>
    <x v="5"/>
    <x v="1"/>
    <x v="14"/>
    <x v="5"/>
    <x v="6"/>
    <n v="68"/>
    <x v="4"/>
    <s v="None"/>
  </r>
  <r>
    <x v="158"/>
    <x v="0"/>
    <n v="39"/>
    <x v="1"/>
    <s v="Lawyer"/>
    <x v="12"/>
    <x v="4"/>
    <x v="1"/>
    <x v="5"/>
    <x v="1"/>
    <x v="14"/>
    <x v="5"/>
    <x v="6"/>
    <n v="68"/>
    <x v="4"/>
    <s v="None"/>
  </r>
  <r>
    <x v="159"/>
    <x v="0"/>
    <n v="39"/>
    <x v="1"/>
    <s v="Lawyer"/>
    <x v="12"/>
    <x v="4"/>
    <x v="1"/>
    <x v="5"/>
    <x v="1"/>
    <x v="14"/>
    <x v="5"/>
    <x v="6"/>
    <n v="68"/>
    <x v="4"/>
    <s v="None"/>
  </r>
  <r>
    <x v="160"/>
    <x v="0"/>
    <n v="39"/>
    <x v="1"/>
    <s v="Lawyer"/>
    <x v="12"/>
    <x v="4"/>
    <x v="1"/>
    <x v="5"/>
    <x v="1"/>
    <x v="14"/>
    <x v="5"/>
    <x v="6"/>
    <n v="68"/>
    <x v="4"/>
    <s v="None"/>
  </r>
  <r>
    <x v="161"/>
    <x v="1"/>
    <n v="40"/>
    <x v="1"/>
    <s v="Accountant"/>
    <x v="12"/>
    <x v="4"/>
    <x v="11"/>
    <x v="0"/>
    <x v="1"/>
    <x v="16"/>
    <x v="13"/>
    <x v="11"/>
    <n v="73"/>
    <x v="16"/>
    <s v="None"/>
  </r>
  <r>
    <x v="162"/>
    <x v="1"/>
    <n v="40"/>
    <x v="1"/>
    <s v="Accountant"/>
    <x v="12"/>
    <x v="4"/>
    <x v="11"/>
    <x v="0"/>
    <x v="1"/>
    <x v="16"/>
    <x v="13"/>
    <x v="11"/>
    <n v="73"/>
    <x v="16"/>
    <s v="None"/>
  </r>
  <r>
    <x v="163"/>
    <x v="0"/>
    <n v="40"/>
    <x v="1"/>
    <s v="Lawyer"/>
    <x v="9"/>
    <x v="4"/>
    <x v="12"/>
    <x v="5"/>
    <x v="1"/>
    <x v="14"/>
    <x v="5"/>
    <x v="6"/>
    <n v="68"/>
    <x v="4"/>
    <s v="None"/>
  </r>
  <r>
    <x v="164"/>
    <x v="0"/>
    <n v="40"/>
    <x v="1"/>
    <s v="Lawyer"/>
    <x v="9"/>
    <x v="4"/>
    <x v="12"/>
    <x v="5"/>
    <x v="1"/>
    <x v="14"/>
    <x v="5"/>
    <x v="6"/>
    <n v="68"/>
    <x v="4"/>
    <s v="None"/>
  </r>
  <r>
    <x v="165"/>
    <x v="0"/>
    <n v="41"/>
    <x v="1"/>
    <s v="Lawyer"/>
    <x v="7"/>
    <x v="4"/>
    <x v="12"/>
    <x v="5"/>
    <x v="1"/>
    <x v="14"/>
    <x v="5"/>
    <x v="6"/>
    <n v="70"/>
    <x v="4"/>
    <s v="Insomnia"/>
  </r>
  <r>
    <x v="166"/>
    <x v="0"/>
    <n v="41"/>
    <x v="1"/>
    <s v="Engineer"/>
    <x v="15"/>
    <x v="4"/>
    <x v="9"/>
    <x v="0"/>
    <x v="1"/>
    <x v="17"/>
    <x v="14"/>
    <x v="12"/>
    <n v="72"/>
    <x v="17"/>
    <s v="None"/>
  </r>
  <r>
    <x v="167"/>
    <x v="0"/>
    <n v="41"/>
    <x v="1"/>
    <s v="Lawyer"/>
    <x v="17"/>
    <x v="2"/>
    <x v="11"/>
    <x v="0"/>
    <x v="0"/>
    <x v="18"/>
    <x v="1"/>
    <x v="13"/>
    <n v="72"/>
    <x v="18"/>
    <s v="None"/>
  </r>
  <r>
    <x v="168"/>
    <x v="0"/>
    <n v="41"/>
    <x v="1"/>
    <s v="Lawyer"/>
    <x v="17"/>
    <x v="2"/>
    <x v="11"/>
    <x v="0"/>
    <x v="0"/>
    <x v="18"/>
    <x v="1"/>
    <x v="13"/>
    <n v="72"/>
    <x v="18"/>
    <s v="None"/>
  </r>
  <r>
    <x v="169"/>
    <x v="0"/>
    <n v="41"/>
    <x v="1"/>
    <s v="Lawyer"/>
    <x v="8"/>
    <x v="4"/>
    <x v="12"/>
    <x v="5"/>
    <x v="1"/>
    <x v="14"/>
    <x v="5"/>
    <x v="6"/>
    <n v="70"/>
    <x v="4"/>
    <s v="None"/>
  </r>
  <r>
    <x v="170"/>
    <x v="0"/>
    <n v="41"/>
    <x v="1"/>
    <s v="Lawyer"/>
    <x v="8"/>
    <x v="4"/>
    <x v="12"/>
    <x v="5"/>
    <x v="1"/>
    <x v="14"/>
    <x v="5"/>
    <x v="6"/>
    <n v="70"/>
    <x v="4"/>
    <s v="None"/>
  </r>
  <r>
    <x v="171"/>
    <x v="0"/>
    <n v="41"/>
    <x v="1"/>
    <s v="Lawyer"/>
    <x v="8"/>
    <x v="4"/>
    <x v="12"/>
    <x v="5"/>
    <x v="1"/>
    <x v="14"/>
    <x v="5"/>
    <x v="6"/>
    <n v="70"/>
    <x v="4"/>
    <s v="None"/>
  </r>
  <r>
    <x v="172"/>
    <x v="0"/>
    <n v="41"/>
    <x v="1"/>
    <s v="Lawyer"/>
    <x v="8"/>
    <x v="4"/>
    <x v="12"/>
    <x v="5"/>
    <x v="1"/>
    <x v="14"/>
    <x v="5"/>
    <x v="6"/>
    <n v="70"/>
    <x v="4"/>
    <s v="None"/>
  </r>
  <r>
    <x v="173"/>
    <x v="0"/>
    <n v="41"/>
    <x v="1"/>
    <s v="Lawyer"/>
    <x v="8"/>
    <x v="4"/>
    <x v="12"/>
    <x v="5"/>
    <x v="1"/>
    <x v="14"/>
    <x v="5"/>
    <x v="6"/>
    <n v="70"/>
    <x v="4"/>
    <s v="None"/>
  </r>
  <r>
    <x v="174"/>
    <x v="0"/>
    <n v="41"/>
    <x v="1"/>
    <s v="Lawyer"/>
    <x v="7"/>
    <x v="4"/>
    <x v="12"/>
    <x v="5"/>
    <x v="1"/>
    <x v="14"/>
    <x v="5"/>
    <x v="6"/>
    <n v="70"/>
    <x v="4"/>
    <s v="None"/>
  </r>
  <r>
    <x v="175"/>
    <x v="0"/>
    <n v="41"/>
    <x v="1"/>
    <s v="Lawyer"/>
    <x v="7"/>
    <x v="4"/>
    <x v="12"/>
    <x v="5"/>
    <x v="1"/>
    <x v="14"/>
    <x v="5"/>
    <x v="6"/>
    <n v="70"/>
    <x v="4"/>
    <s v="None"/>
  </r>
  <r>
    <x v="176"/>
    <x v="0"/>
    <n v="41"/>
    <x v="1"/>
    <s v="Lawyer"/>
    <x v="7"/>
    <x v="4"/>
    <x v="12"/>
    <x v="5"/>
    <x v="1"/>
    <x v="14"/>
    <x v="5"/>
    <x v="6"/>
    <n v="70"/>
    <x v="4"/>
    <s v="None"/>
  </r>
  <r>
    <x v="177"/>
    <x v="0"/>
    <n v="42"/>
    <x v="1"/>
    <s v="Salesperson"/>
    <x v="6"/>
    <x v="0"/>
    <x v="6"/>
    <x v="2"/>
    <x v="0"/>
    <x v="14"/>
    <x v="5"/>
    <x v="6"/>
    <n v="72"/>
    <x v="18"/>
    <s v="Insomnia"/>
  </r>
  <r>
    <x v="178"/>
    <x v="0"/>
    <n v="42"/>
    <x v="1"/>
    <s v="Lawyer"/>
    <x v="4"/>
    <x v="4"/>
    <x v="12"/>
    <x v="5"/>
    <x v="1"/>
    <x v="14"/>
    <x v="5"/>
    <x v="6"/>
    <n v="70"/>
    <x v="4"/>
    <s v="None"/>
  </r>
  <r>
    <x v="179"/>
    <x v="0"/>
    <n v="42"/>
    <x v="1"/>
    <s v="Lawyer"/>
    <x v="4"/>
    <x v="4"/>
    <x v="12"/>
    <x v="5"/>
    <x v="1"/>
    <x v="14"/>
    <x v="5"/>
    <x v="6"/>
    <n v="70"/>
    <x v="4"/>
    <s v="None"/>
  </r>
  <r>
    <x v="180"/>
    <x v="0"/>
    <n v="42"/>
    <x v="1"/>
    <s v="Lawyer"/>
    <x v="4"/>
    <x v="4"/>
    <x v="12"/>
    <x v="5"/>
    <x v="1"/>
    <x v="14"/>
    <x v="5"/>
    <x v="6"/>
    <n v="70"/>
    <x v="4"/>
    <s v="None"/>
  </r>
  <r>
    <x v="181"/>
    <x v="0"/>
    <n v="42"/>
    <x v="1"/>
    <s v="Lawyer"/>
    <x v="4"/>
    <x v="4"/>
    <x v="12"/>
    <x v="5"/>
    <x v="1"/>
    <x v="14"/>
    <x v="5"/>
    <x v="6"/>
    <n v="70"/>
    <x v="4"/>
    <s v="None"/>
  </r>
  <r>
    <x v="182"/>
    <x v="0"/>
    <n v="42"/>
    <x v="1"/>
    <s v="Lawyer"/>
    <x v="4"/>
    <x v="4"/>
    <x v="12"/>
    <x v="5"/>
    <x v="1"/>
    <x v="14"/>
    <x v="5"/>
    <x v="6"/>
    <n v="70"/>
    <x v="4"/>
    <s v="None"/>
  </r>
  <r>
    <x v="183"/>
    <x v="0"/>
    <n v="42"/>
    <x v="1"/>
    <s v="Lawyer"/>
    <x v="4"/>
    <x v="4"/>
    <x v="12"/>
    <x v="5"/>
    <x v="1"/>
    <x v="14"/>
    <x v="5"/>
    <x v="6"/>
    <n v="70"/>
    <x v="4"/>
    <s v="None"/>
  </r>
  <r>
    <x v="184"/>
    <x v="1"/>
    <n v="42"/>
    <x v="1"/>
    <s v="Teacher"/>
    <x v="21"/>
    <x v="0"/>
    <x v="6"/>
    <x v="2"/>
    <x v="0"/>
    <x v="14"/>
    <x v="5"/>
    <x v="6"/>
    <n v="78"/>
    <x v="8"/>
    <s v="Sleep Apnea"/>
  </r>
  <r>
    <x v="185"/>
    <x v="1"/>
    <n v="42"/>
    <x v="1"/>
    <s v="Teacher"/>
    <x v="21"/>
    <x v="0"/>
    <x v="6"/>
    <x v="2"/>
    <x v="0"/>
    <x v="14"/>
    <x v="5"/>
    <x v="6"/>
    <n v="78"/>
    <x v="8"/>
    <s v="Sleep Apnea"/>
  </r>
  <r>
    <x v="186"/>
    <x v="1"/>
    <n v="43"/>
    <x v="1"/>
    <s v="Teacher"/>
    <x v="14"/>
    <x v="2"/>
    <x v="6"/>
    <x v="3"/>
    <x v="0"/>
    <x v="19"/>
    <x v="11"/>
    <x v="2"/>
    <n v="65"/>
    <x v="18"/>
    <s v="Insomnia"/>
  </r>
  <r>
    <x v="187"/>
    <x v="0"/>
    <n v="43"/>
    <x v="1"/>
    <s v="Salesperson"/>
    <x v="3"/>
    <x v="0"/>
    <x v="6"/>
    <x v="2"/>
    <x v="0"/>
    <x v="14"/>
    <x v="5"/>
    <x v="6"/>
    <n v="72"/>
    <x v="18"/>
    <s v="Insomnia"/>
  </r>
  <r>
    <x v="188"/>
    <x v="1"/>
    <n v="43"/>
    <x v="1"/>
    <s v="Teacher"/>
    <x v="14"/>
    <x v="2"/>
    <x v="6"/>
    <x v="3"/>
    <x v="0"/>
    <x v="19"/>
    <x v="11"/>
    <x v="2"/>
    <n v="65"/>
    <x v="18"/>
    <s v="Insomnia"/>
  </r>
  <r>
    <x v="189"/>
    <x v="0"/>
    <n v="43"/>
    <x v="1"/>
    <s v="Salesperson"/>
    <x v="6"/>
    <x v="0"/>
    <x v="6"/>
    <x v="2"/>
    <x v="0"/>
    <x v="14"/>
    <x v="5"/>
    <x v="6"/>
    <n v="72"/>
    <x v="18"/>
    <s v="Insomnia"/>
  </r>
  <r>
    <x v="190"/>
    <x v="1"/>
    <n v="43"/>
    <x v="1"/>
    <s v="Teacher"/>
    <x v="14"/>
    <x v="2"/>
    <x v="6"/>
    <x v="3"/>
    <x v="0"/>
    <x v="19"/>
    <x v="11"/>
    <x v="2"/>
    <n v="65"/>
    <x v="18"/>
    <s v="Insomnia"/>
  </r>
  <r>
    <x v="191"/>
    <x v="0"/>
    <n v="43"/>
    <x v="1"/>
    <s v="Salesperson"/>
    <x v="10"/>
    <x v="0"/>
    <x v="6"/>
    <x v="2"/>
    <x v="0"/>
    <x v="14"/>
    <x v="5"/>
    <x v="6"/>
    <n v="72"/>
    <x v="18"/>
    <s v="Insomnia"/>
  </r>
  <r>
    <x v="192"/>
    <x v="0"/>
    <n v="43"/>
    <x v="1"/>
    <s v="Salesperson"/>
    <x v="6"/>
    <x v="0"/>
    <x v="6"/>
    <x v="2"/>
    <x v="0"/>
    <x v="14"/>
    <x v="5"/>
    <x v="6"/>
    <n v="72"/>
    <x v="18"/>
    <s v="Insomnia"/>
  </r>
  <r>
    <x v="193"/>
    <x v="0"/>
    <n v="43"/>
    <x v="1"/>
    <s v="Salesperson"/>
    <x v="6"/>
    <x v="0"/>
    <x v="6"/>
    <x v="2"/>
    <x v="0"/>
    <x v="14"/>
    <x v="5"/>
    <x v="6"/>
    <n v="72"/>
    <x v="18"/>
    <s v="Insomnia"/>
  </r>
  <r>
    <x v="194"/>
    <x v="0"/>
    <n v="43"/>
    <x v="1"/>
    <s v="Salesperson"/>
    <x v="6"/>
    <x v="0"/>
    <x v="6"/>
    <x v="2"/>
    <x v="0"/>
    <x v="14"/>
    <x v="5"/>
    <x v="6"/>
    <n v="72"/>
    <x v="18"/>
    <s v="Insomnia"/>
  </r>
  <r>
    <x v="195"/>
    <x v="0"/>
    <n v="43"/>
    <x v="1"/>
    <s v="Salesperson"/>
    <x v="6"/>
    <x v="0"/>
    <x v="6"/>
    <x v="2"/>
    <x v="0"/>
    <x v="14"/>
    <x v="5"/>
    <x v="6"/>
    <n v="72"/>
    <x v="18"/>
    <s v="Insomnia"/>
  </r>
  <r>
    <x v="196"/>
    <x v="0"/>
    <n v="43"/>
    <x v="1"/>
    <s v="Salesperson"/>
    <x v="6"/>
    <x v="0"/>
    <x v="6"/>
    <x v="2"/>
    <x v="0"/>
    <x v="14"/>
    <x v="5"/>
    <x v="6"/>
    <n v="72"/>
    <x v="18"/>
    <s v="Insomnia"/>
  </r>
  <r>
    <x v="197"/>
    <x v="0"/>
    <n v="43"/>
    <x v="1"/>
    <s v="Salesperson"/>
    <x v="6"/>
    <x v="0"/>
    <x v="6"/>
    <x v="2"/>
    <x v="0"/>
    <x v="14"/>
    <x v="5"/>
    <x v="6"/>
    <n v="72"/>
    <x v="18"/>
    <s v="Insomnia"/>
  </r>
  <r>
    <x v="198"/>
    <x v="0"/>
    <n v="43"/>
    <x v="1"/>
    <s v="Salesperson"/>
    <x v="6"/>
    <x v="0"/>
    <x v="6"/>
    <x v="2"/>
    <x v="0"/>
    <x v="14"/>
    <x v="5"/>
    <x v="6"/>
    <n v="72"/>
    <x v="18"/>
    <s v="Insomnia"/>
  </r>
  <r>
    <x v="199"/>
    <x v="0"/>
    <n v="43"/>
    <x v="1"/>
    <s v="Salesperson"/>
    <x v="6"/>
    <x v="0"/>
    <x v="6"/>
    <x v="2"/>
    <x v="0"/>
    <x v="14"/>
    <x v="5"/>
    <x v="6"/>
    <n v="72"/>
    <x v="18"/>
    <s v="Insomnia"/>
  </r>
  <r>
    <x v="200"/>
    <x v="0"/>
    <n v="43"/>
    <x v="1"/>
    <s v="Salesperson"/>
    <x v="6"/>
    <x v="0"/>
    <x v="6"/>
    <x v="2"/>
    <x v="0"/>
    <x v="14"/>
    <x v="5"/>
    <x v="6"/>
    <n v="72"/>
    <x v="18"/>
    <s v="Insomnia"/>
  </r>
  <r>
    <x v="201"/>
    <x v="0"/>
    <n v="43"/>
    <x v="1"/>
    <s v="Engineer"/>
    <x v="4"/>
    <x v="4"/>
    <x v="12"/>
    <x v="5"/>
    <x v="1"/>
    <x v="14"/>
    <x v="5"/>
    <x v="6"/>
    <n v="70"/>
    <x v="4"/>
    <s v="Insomnia"/>
  </r>
  <r>
    <x v="202"/>
    <x v="0"/>
    <n v="43"/>
    <x v="1"/>
    <s v="Engineer"/>
    <x v="4"/>
    <x v="4"/>
    <x v="12"/>
    <x v="5"/>
    <x v="1"/>
    <x v="14"/>
    <x v="5"/>
    <x v="6"/>
    <n v="70"/>
    <x v="4"/>
    <s v="Insomnia"/>
  </r>
  <r>
    <x v="203"/>
    <x v="0"/>
    <n v="43"/>
    <x v="1"/>
    <s v="Engineer"/>
    <x v="19"/>
    <x v="0"/>
    <x v="13"/>
    <x v="2"/>
    <x v="1"/>
    <x v="6"/>
    <x v="6"/>
    <x v="5"/>
    <n v="69"/>
    <x v="7"/>
    <s v="None"/>
  </r>
  <r>
    <x v="204"/>
    <x v="0"/>
    <n v="43"/>
    <x v="1"/>
    <s v="Engineer"/>
    <x v="7"/>
    <x v="4"/>
    <x v="4"/>
    <x v="3"/>
    <x v="0"/>
    <x v="20"/>
    <x v="15"/>
    <x v="1"/>
    <n v="68"/>
    <x v="7"/>
    <s v="None"/>
  </r>
  <r>
    <x v="205"/>
    <x v="0"/>
    <n v="43"/>
    <x v="1"/>
    <s v="Engineer"/>
    <x v="8"/>
    <x v="4"/>
    <x v="12"/>
    <x v="5"/>
    <x v="1"/>
    <x v="14"/>
    <x v="5"/>
    <x v="6"/>
    <n v="70"/>
    <x v="4"/>
    <s v="None"/>
  </r>
  <r>
    <x v="206"/>
    <x v="0"/>
    <n v="43"/>
    <x v="1"/>
    <s v="Engineer"/>
    <x v="8"/>
    <x v="4"/>
    <x v="12"/>
    <x v="5"/>
    <x v="1"/>
    <x v="14"/>
    <x v="5"/>
    <x v="6"/>
    <n v="70"/>
    <x v="4"/>
    <s v="None"/>
  </r>
  <r>
    <x v="207"/>
    <x v="0"/>
    <n v="43"/>
    <x v="1"/>
    <s v="Engineer"/>
    <x v="8"/>
    <x v="4"/>
    <x v="12"/>
    <x v="5"/>
    <x v="1"/>
    <x v="14"/>
    <x v="5"/>
    <x v="6"/>
    <n v="70"/>
    <x v="4"/>
    <s v="None"/>
  </r>
  <r>
    <x v="208"/>
    <x v="0"/>
    <n v="43"/>
    <x v="1"/>
    <s v="Engineer"/>
    <x v="8"/>
    <x v="4"/>
    <x v="12"/>
    <x v="5"/>
    <x v="1"/>
    <x v="14"/>
    <x v="5"/>
    <x v="6"/>
    <n v="70"/>
    <x v="4"/>
    <s v="None"/>
  </r>
  <r>
    <x v="209"/>
    <x v="0"/>
    <n v="43"/>
    <x v="1"/>
    <s v="Engineer"/>
    <x v="4"/>
    <x v="4"/>
    <x v="12"/>
    <x v="5"/>
    <x v="1"/>
    <x v="14"/>
    <x v="5"/>
    <x v="6"/>
    <n v="70"/>
    <x v="4"/>
    <s v="None"/>
  </r>
  <r>
    <x v="210"/>
    <x v="0"/>
    <n v="43"/>
    <x v="1"/>
    <s v="Engineer"/>
    <x v="8"/>
    <x v="4"/>
    <x v="12"/>
    <x v="5"/>
    <x v="1"/>
    <x v="14"/>
    <x v="5"/>
    <x v="6"/>
    <n v="70"/>
    <x v="4"/>
    <s v="None"/>
  </r>
  <r>
    <x v="211"/>
    <x v="0"/>
    <n v="43"/>
    <x v="1"/>
    <s v="Engineer"/>
    <x v="4"/>
    <x v="4"/>
    <x v="12"/>
    <x v="5"/>
    <x v="1"/>
    <x v="14"/>
    <x v="5"/>
    <x v="6"/>
    <n v="70"/>
    <x v="4"/>
    <s v="None"/>
  </r>
  <r>
    <x v="212"/>
    <x v="0"/>
    <n v="43"/>
    <x v="1"/>
    <s v="Engineer"/>
    <x v="4"/>
    <x v="4"/>
    <x v="12"/>
    <x v="5"/>
    <x v="1"/>
    <x v="14"/>
    <x v="5"/>
    <x v="6"/>
    <n v="70"/>
    <x v="4"/>
    <s v="None"/>
  </r>
  <r>
    <x v="213"/>
    <x v="0"/>
    <n v="43"/>
    <x v="1"/>
    <s v="Engineer"/>
    <x v="4"/>
    <x v="4"/>
    <x v="12"/>
    <x v="5"/>
    <x v="1"/>
    <x v="14"/>
    <x v="5"/>
    <x v="6"/>
    <n v="70"/>
    <x v="4"/>
    <s v="None"/>
  </r>
  <r>
    <x v="214"/>
    <x v="0"/>
    <n v="43"/>
    <x v="1"/>
    <s v="Engineer"/>
    <x v="4"/>
    <x v="4"/>
    <x v="12"/>
    <x v="5"/>
    <x v="1"/>
    <x v="14"/>
    <x v="5"/>
    <x v="6"/>
    <n v="70"/>
    <x v="4"/>
    <s v="None"/>
  </r>
  <r>
    <x v="215"/>
    <x v="0"/>
    <n v="43"/>
    <x v="1"/>
    <s v="Engineer"/>
    <x v="4"/>
    <x v="4"/>
    <x v="12"/>
    <x v="5"/>
    <x v="1"/>
    <x v="14"/>
    <x v="5"/>
    <x v="6"/>
    <n v="70"/>
    <x v="4"/>
    <s v="None"/>
  </r>
  <r>
    <x v="216"/>
    <x v="0"/>
    <n v="43"/>
    <x v="1"/>
    <s v="Engineer"/>
    <x v="4"/>
    <x v="4"/>
    <x v="12"/>
    <x v="5"/>
    <x v="1"/>
    <x v="14"/>
    <x v="5"/>
    <x v="6"/>
    <n v="70"/>
    <x v="4"/>
    <s v="None"/>
  </r>
  <r>
    <x v="217"/>
    <x v="0"/>
    <n v="43"/>
    <x v="1"/>
    <s v="Engineer"/>
    <x v="4"/>
    <x v="4"/>
    <x v="12"/>
    <x v="5"/>
    <x v="1"/>
    <x v="14"/>
    <x v="5"/>
    <x v="6"/>
    <n v="70"/>
    <x v="4"/>
    <s v="None"/>
  </r>
  <r>
    <x v="218"/>
    <x v="0"/>
    <n v="43"/>
    <x v="1"/>
    <s v="Engineer"/>
    <x v="4"/>
    <x v="4"/>
    <x v="12"/>
    <x v="5"/>
    <x v="1"/>
    <x v="14"/>
    <x v="5"/>
    <x v="6"/>
    <n v="70"/>
    <x v="4"/>
    <s v="Sleep Apnea"/>
  </r>
  <r>
    <x v="219"/>
    <x v="0"/>
    <n v="43"/>
    <x v="1"/>
    <s v="Salesperson"/>
    <x v="6"/>
    <x v="0"/>
    <x v="6"/>
    <x v="2"/>
    <x v="0"/>
    <x v="14"/>
    <x v="5"/>
    <x v="6"/>
    <n v="72"/>
    <x v="18"/>
    <s v="Sleep Apnea"/>
  </r>
  <r>
    <x v="220"/>
    <x v="1"/>
    <n v="44"/>
    <x v="1"/>
    <s v="Teacher"/>
    <x v="18"/>
    <x v="2"/>
    <x v="6"/>
    <x v="3"/>
    <x v="0"/>
    <x v="19"/>
    <x v="11"/>
    <x v="2"/>
    <n v="65"/>
    <x v="18"/>
    <s v="Insomnia"/>
  </r>
  <r>
    <x v="221"/>
    <x v="0"/>
    <n v="44"/>
    <x v="1"/>
    <s v="Salesperson"/>
    <x v="10"/>
    <x v="0"/>
    <x v="6"/>
    <x v="2"/>
    <x v="0"/>
    <x v="14"/>
    <x v="5"/>
    <x v="6"/>
    <n v="72"/>
    <x v="18"/>
    <s v="Insomnia"/>
  </r>
  <r>
    <x v="222"/>
    <x v="0"/>
    <n v="44"/>
    <x v="1"/>
    <s v="Salesperson"/>
    <x v="3"/>
    <x v="0"/>
    <x v="6"/>
    <x v="2"/>
    <x v="0"/>
    <x v="14"/>
    <x v="5"/>
    <x v="6"/>
    <n v="72"/>
    <x v="18"/>
    <s v="Insomnia"/>
  </r>
  <r>
    <x v="223"/>
    <x v="0"/>
    <n v="44"/>
    <x v="1"/>
    <s v="Salesperson"/>
    <x v="10"/>
    <x v="0"/>
    <x v="6"/>
    <x v="2"/>
    <x v="0"/>
    <x v="14"/>
    <x v="5"/>
    <x v="6"/>
    <n v="72"/>
    <x v="18"/>
    <s v="Insomnia"/>
  </r>
  <r>
    <x v="224"/>
    <x v="1"/>
    <n v="44"/>
    <x v="1"/>
    <s v="Teacher"/>
    <x v="18"/>
    <x v="2"/>
    <x v="6"/>
    <x v="3"/>
    <x v="0"/>
    <x v="19"/>
    <x v="11"/>
    <x v="2"/>
    <n v="65"/>
    <x v="18"/>
    <s v="Insomnia"/>
  </r>
  <r>
    <x v="225"/>
    <x v="0"/>
    <n v="44"/>
    <x v="1"/>
    <s v="Salesperson"/>
    <x v="3"/>
    <x v="0"/>
    <x v="6"/>
    <x v="2"/>
    <x v="0"/>
    <x v="14"/>
    <x v="5"/>
    <x v="6"/>
    <n v="72"/>
    <x v="18"/>
    <s v="Insomnia"/>
  </r>
  <r>
    <x v="226"/>
    <x v="1"/>
    <n v="44"/>
    <x v="1"/>
    <s v="Teacher"/>
    <x v="18"/>
    <x v="2"/>
    <x v="6"/>
    <x v="3"/>
    <x v="0"/>
    <x v="19"/>
    <x v="11"/>
    <x v="2"/>
    <n v="65"/>
    <x v="18"/>
    <s v="Insomnia"/>
  </r>
  <r>
    <x v="227"/>
    <x v="0"/>
    <n v="44"/>
    <x v="1"/>
    <s v="Salesperson"/>
    <x v="3"/>
    <x v="0"/>
    <x v="6"/>
    <x v="2"/>
    <x v="0"/>
    <x v="14"/>
    <x v="5"/>
    <x v="6"/>
    <n v="72"/>
    <x v="18"/>
    <s v="Insomnia"/>
  </r>
  <r>
    <x v="228"/>
    <x v="1"/>
    <n v="44"/>
    <x v="1"/>
    <s v="Teacher"/>
    <x v="18"/>
    <x v="2"/>
    <x v="6"/>
    <x v="3"/>
    <x v="0"/>
    <x v="19"/>
    <x v="11"/>
    <x v="2"/>
    <n v="65"/>
    <x v="18"/>
    <s v="Insomnia"/>
  </r>
  <r>
    <x v="229"/>
    <x v="0"/>
    <n v="44"/>
    <x v="1"/>
    <s v="Salesperson"/>
    <x v="3"/>
    <x v="0"/>
    <x v="6"/>
    <x v="2"/>
    <x v="0"/>
    <x v="14"/>
    <x v="5"/>
    <x v="6"/>
    <n v="72"/>
    <x v="18"/>
    <s v="Insomnia"/>
  </r>
  <r>
    <x v="230"/>
    <x v="1"/>
    <n v="44"/>
    <x v="1"/>
    <s v="Teacher"/>
    <x v="18"/>
    <x v="2"/>
    <x v="6"/>
    <x v="3"/>
    <x v="0"/>
    <x v="19"/>
    <x v="11"/>
    <x v="2"/>
    <n v="65"/>
    <x v="18"/>
    <s v="Insomnia"/>
  </r>
  <r>
    <x v="231"/>
    <x v="0"/>
    <n v="44"/>
    <x v="1"/>
    <s v="Salesperson"/>
    <x v="3"/>
    <x v="0"/>
    <x v="6"/>
    <x v="2"/>
    <x v="0"/>
    <x v="14"/>
    <x v="5"/>
    <x v="6"/>
    <n v="72"/>
    <x v="18"/>
    <s v="Insomnia"/>
  </r>
  <r>
    <x v="232"/>
    <x v="1"/>
    <n v="44"/>
    <x v="1"/>
    <s v="Teacher"/>
    <x v="18"/>
    <x v="2"/>
    <x v="6"/>
    <x v="3"/>
    <x v="0"/>
    <x v="19"/>
    <x v="11"/>
    <x v="2"/>
    <n v="65"/>
    <x v="18"/>
    <s v="Insomnia"/>
  </r>
  <r>
    <x v="233"/>
    <x v="0"/>
    <n v="44"/>
    <x v="1"/>
    <s v="Salesperson"/>
    <x v="3"/>
    <x v="0"/>
    <x v="6"/>
    <x v="2"/>
    <x v="0"/>
    <x v="14"/>
    <x v="5"/>
    <x v="6"/>
    <n v="72"/>
    <x v="18"/>
    <s v="Insomnia"/>
  </r>
  <r>
    <x v="234"/>
    <x v="1"/>
    <n v="44"/>
    <x v="1"/>
    <s v="Teacher"/>
    <x v="18"/>
    <x v="2"/>
    <x v="6"/>
    <x v="3"/>
    <x v="0"/>
    <x v="19"/>
    <x v="11"/>
    <x v="2"/>
    <n v="65"/>
    <x v="18"/>
    <s v="Insomnia"/>
  </r>
  <r>
    <x v="235"/>
    <x v="0"/>
    <n v="44"/>
    <x v="1"/>
    <s v="Salesperson"/>
    <x v="3"/>
    <x v="0"/>
    <x v="6"/>
    <x v="2"/>
    <x v="0"/>
    <x v="14"/>
    <x v="5"/>
    <x v="6"/>
    <n v="72"/>
    <x v="18"/>
    <s v="Insomnia"/>
  </r>
  <r>
    <x v="236"/>
    <x v="0"/>
    <n v="44"/>
    <x v="1"/>
    <s v="Salesperson"/>
    <x v="10"/>
    <x v="0"/>
    <x v="6"/>
    <x v="2"/>
    <x v="0"/>
    <x v="14"/>
    <x v="5"/>
    <x v="6"/>
    <n v="72"/>
    <x v="18"/>
    <s v="Insomnia"/>
  </r>
  <r>
    <x v="237"/>
    <x v="1"/>
    <n v="44"/>
    <x v="1"/>
    <s v="Teacher"/>
    <x v="6"/>
    <x v="2"/>
    <x v="6"/>
    <x v="3"/>
    <x v="0"/>
    <x v="19"/>
    <x v="11"/>
    <x v="2"/>
    <n v="65"/>
    <x v="18"/>
    <s v="Insomnia"/>
  </r>
  <r>
    <x v="238"/>
    <x v="0"/>
    <n v="44"/>
    <x v="1"/>
    <s v="Salesperson"/>
    <x v="3"/>
    <x v="0"/>
    <x v="6"/>
    <x v="2"/>
    <x v="0"/>
    <x v="14"/>
    <x v="5"/>
    <x v="6"/>
    <n v="72"/>
    <x v="18"/>
    <s v="Insomnia"/>
  </r>
  <r>
    <x v="239"/>
    <x v="0"/>
    <n v="44"/>
    <x v="1"/>
    <s v="Salesperson"/>
    <x v="10"/>
    <x v="0"/>
    <x v="6"/>
    <x v="2"/>
    <x v="0"/>
    <x v="14"/>
    <x v="5"/>
    <x v="6"/>
    <n v="72"/>
    <x v="18"/>
    <s v="Insomnia"/>
  </r>
  <r>
    <x v="240"/>
    <x v="1"/>
    <n v="44"/>
    <x v="1"/>
    <s v="Teacher"/>
    <x v="6"/>
    <x v="2"/>
    <x v="6"/>
    <x v="3"/>
    <x v="0"/>
    <x v="19"/>
    <x v="11"/>
    <x v="2"/>
    <n v="65"/>
    <x v="18"/>
    <s v="Insomnia"/>
  </r>
  <r>
    <x v="241"/>
    <x v="0"/>
    <n v="44"/>
    <x v="1"/>
    <s v="Salesperson"/>
    <x v="3"/>
    <x v="0"/>
    <x v="6"/>
    <x v="2"/>
    <x v="0"/>
    <x v="14"/>
    <x v="5"/>
    <x v="6"/>
    <n v="72"/>
    <x v="18"/>
    <s v="Insomnia"/>
  </r>
  <r>
    <x v="242"/>
    <x v="0"/>
    <n v="44"/>
    <x v="1"/>
    <s v="Salesperson"/>
    <x v="10"/>
    <x v="0"/>
    <x v="6"/>
    <x v="2"/>
    <x v="0"/>
    <x v="14"/>
    <x v="5"/>
    <x v="6"/>
    <n v="72"/>
    <x v="18"/>
    <s v="Insomnia"/>
  </r>
  <r>
    <x v="243"/>
    <x v="1"/>
    <n v="44"/>
    <x v="1"/>
    <s v="Teacher"/>
    <x v="6"/>
    <x v="2"/>
    <x v="6"/>
    <x v="3"/>
    <x v="0"/>
    <x v="19"/>
    <x v="11"/>
    <x v="2"/>
    <n v="65"/>
    <x v="18"/>
    <s v="Insomnia"/>
  </r>
  <r>
    <x v="244"/>
    <x v="0"/>
    <n v="44"/>
    <x v="1"/>
    <s v="Salesperson"/>
    <x v="3"/>
    <x v="0"/>
    <x v="6"/>
    <x v="2"/>
    <x v="0"/>
    <x v="14"/>
    <x v="5"/>
    <x v="6"/>
    <n v="72"/>
    <x v="18"/>
    <s v="Insomnia"/>
  </r>
  <r>
    <x v="245"/>
    <x v="1"/>
    <n v="44"/>
    <x v="1"/>
    <s v="Teacher"/>
    <x v="6"/>
    <x v="2"/>
    <x v="6"/>
    <x v="3"/>
    <x v="0"/>
    <x v="19"/>
    <x v="11"/>
    <x v="2"/>
    <n v="65"/>
    <x v="18"/>
    <s v="Insomnia"/>
  </r>
  <r>
    <x v="246"/>
    <x v="0"/>
    <n v="44"/>
    <x v="1"/>
    <s v="Salesperson"/>
    <x v="3"/>
    <x v="0"/>
    <x v="6"/>
    <x v="2"/>
    <x v="0"/>
    <x v="14"/>
    <x v="5"/>
    <x v="6"/>
    <n v="72"/>
    <x v="18"/>
    <s v="Insomnia"/>
  </r>
  <r>
    <x v="247"/>
    <x v="0"/>
    <n v="44"/>
    <x v="1"/>
    <s v="Engineer"/>
    <x v="21"/>
    <x v="2"/>
    <x v="6"/>
    <x v="2"/>
    <x v="0"/>
    <x v="14"/>
    <x v="5"/>
    <x v="6"/>
    <n v="78"/>
    <x v="8"/>
    <s v="Insomnia"/>
  </r>
  <r>
    <x v="248"/>
    <x v="0"/>
    <n v="44"/>
    <x v="1"/>
    <s v="Salesperson"/>
    <x v="10"/>
    <x v="0"/>
    <x v="6"/>
    <x v="2"/>
    <x v="0"/>
    <x v="14"/>
    <x v="5"/>
    <x v="6"/>
    <n v="72"/>
    <x v="18"/>
    <s v="None"/>
  </r>
  <r>
    <x v="249"/>
    <x v="0"/>
    <n v="44"/>
    <x v="1"/>
    <s v="Salesperson"/>
    <x v="6"/>
    <x v="0"/>
    <x v="6"/>
    <x v="2"/>
    <x v="0"/>
    <x v="14"/>
    <x v="5"/>
    <x v="6"/>
    <n v="72"/>
    <x v="18"/>
    <s v="None"/>
  </r>
  <r>
    <x v="250"/>
    <x v="1"/>
    <n v="45"/>
    <x v="1"/>
    <s v="Teacher"/>
    <x v="21"/>
    <x v="2"/>
    <x v="2"/>
    <x v="0"/>
    <x v="0"/>
    <x v="19"/>
    <x v="11"/>
    <x v="2"/>
    <n v="65"/>
    <x v="18"/>
    <s v="Insomnia"/>
  </r>
  <r>
    <x v="251"/>
    <x v="1"/>
    <n v="45"/>
    <x v="1"/>
    <s v="Teacher"/>
    <x v="21"/>
    <x v="2"/>
    <x v="2"/>
    <x v="0"/>
    <x v="0"/>
    <x v="19"/>
    <x v="11"/>
    <x v="2"/>
    <n v="65"/>
    <x v="18"/>
    <s v="Insomnia"/>
  </r>
  <r>
    <x v="252"/>
    <x v="1"/>
    <n v="45"/>
    <x v="1"/>
    <s v="Teacher"/>
    <x v="6"/>
    <x v="2"/>
    <x v="6"/>
    <x v="3"/>
    <x v="0"/>
    <x v="19"/>
    <x v="11"/>
    <x v="2"/>
    <n v="65"/>
    <x v="18"/>
    <s v="Insomnia"/>
  </r>
  <r>
    <x v="253"/>
    <x v="1"/>
    <n v="45"/>
    <x v="1"/>
    <s v="Teacher"/>
    <x v="6"/>
    <x v="2"/>
    <x v="6"/>
    <x v="3"/>
    <x v="0"/>
    <x v="19"/>
    <x v="11"/>
    <x v="2"/>
    <n v="65"/>
    <x v="18"/>
    <s v="Insomnia"/>
  </r>
  <r>
    <x v="254"/>
    <x v="1"/>
    <n v="45"/>
    <x v="1"/>
    <s v="Teacher"/>
    <x v="6"/>
    <x v="2"/>
    <x v="6"/>
    <x v="3"/>
    <x v="0"/>
    <x v="19"/>
    <x v="11"/>
    <x v="2"/>
    <n v="65"/>
    <x v="18"/>
    <s v="Insomnia"/>
  </r>
  <r>
    <x v="255"/>
    <x v="1"/>
    <n v="45"/>
    <x v="1"/>
    <s v="Teacher"/>
    <x v="6"/>
    <x v="2"/>
    <x v="6"/>
    <x v="3"/>
    <x v="0"/>
    <x v="19"/>
    <x v="11"/>
    <x v="2"/>
    <n v="65"/>
    <x v="18"/>
    <s v="Insomnia"/>
  </r>
  <r>
    <x v="256"/>
    <x v="1"/>
    <n v="45"/>
    <x v="1"/>
    <s v="Teacher"/>
    <x v="18"/>
    <x v="2"/>
    <x v="6"/>
    <x v="3"/>
    <x v="0"/>
    <x v="19"/>
    <x v="11"/>
    <x v="2"/>
    <n v="65"/>
    <x v="18"/>
    <s v="Insomnia"/>
  </r>
  <r>
    <x v="257"/>
    <x v="1"/>
    <n v="45"/>
    <x v="1"/>
    <s v="Teacher"/>
    <x v="18"/>
    <x v="2"/>
    <x v="6"/>
    <x v="3"/>
    <x v="0"/>
    <x v="19"/>
    <x v="11"/>
    <x v="2"/>
    <n v="65"/>
    <x v="18"/>
    <s v="Insomnia"/>
  </r>
  <r>
    <x v="258"/>
    <x v="1"/>
    <n v="45"/>
    <x v="1"/>
    <s v="Teacher"/>
    <x v="18"/>
    <x v="2"/>
    <x v="6"/>
    <x v="3"/>
    <x v="0"/>
    <x v="19"/>
    <x v="11"/>
    <x v="2"/>
    <n v="65"/>
    <x v="18"/>
    <s v="Insomnia"/>
  </r>
  <r>
    <x v="259"/>
    <x v="1"/>
    <n v="45"/>
    <x v="1"/>
    <s v="Teacher"/>
    <x v="18"/>
    <x v="2"/>
    <x v="6"/>
    <x v="3"/>
    <x v="0"/>
    <x v="19"/>
    <x v="11"/>
    <x v="2"/>
    <n v="65"/>
    <x v="18"/>
    <s v="Insomnia"/>
  </r>
  <r>
    <x v="260"/>
    <x v="1"/>
    <n v="45"/>
    <x v="1"/>
    <s v="Teacher"/>
    <x v="18"/>
    <x v="2"/>
    <x v="6"/>
    <x v="3"/>
    <x v="0"/>
    <x v="19"/>
    <x v="11"/>
    <x v="2"/>
    <n v="65"/>
    <x v="18"/>
    <s v="Insomnia"/>
  </r>
  <r>
    <x v="261"/>
    <x v="1"/>
    <n v="45"/>
    <x v="1"/>
    <s v="Teacher"/>
    <x v="18"/>
    <x v="2"/>
    <x v="6"/>
    <x v="3"/>
    <x v="0"/>
    <x v="19"/>
    <x v="11"/>
    <x v="2"/>
    <n v="65"/>
    <x v="18"/>
    <s v="None"/>
  </r>
  <r>
    <x v="262"/>
    <x v="1"/>
    <n v="45"/>
    <x v="1"/>
    <s v="Teacher"/>
    <x v="18"/>
    <x v="2"/>
    <x v="6"/>
    <x v="3"/>
    <x v="0"/>
    <x v="19"/>
    <x v="11"/>
    <x v="2"/>
    <n v="65"/>
    <x v="18"/>
    <s v="None"/>
  </r>
  <r>
    <x v="263"/>
    <x v="1"/>
    <n v="45"/>
    <x v="1"/>
    <s v="Manager"/>
    <x v="19"/>
    <x v="2"/>
    <x v="11"/>
    <x v="5"/>
    <x v="0"/>
    <x v="18"/>
    <x v="1"/>
    <x v="13"/>
    <n v="75"/>
    <x v="10"/>
    <s v="None"/>
  </r>
  <r>
    <x v="264"/>
    <x v="0"/>
    <n v="48"/>
    <x v="1"/>
    <s v="Doctor"/>
    <x v="15"/>
    <x v="2"/>
    <x v="14"/>
    <x v="5"/>
    <x v="2"/>
    <x v="21"/>
    <x v="16"/>
    <x v="14"/>
    <n v="83"/>
    <x v="3"/>
    <s v="Insomnia"/>
  </r>
  <r>
    <x v="265"/>
    <x v="1"/>
    <n v="48"/>
    <x v="1"/>
    <s v="Nurse"/>
    <x v="2"/>
    <x v="0"/>
    <x v="12"/>
    <x v="1"/>
    <x v="0"/>
    <x v="22"/>
    <x v="2"/>
    <x v="15"/>
    <n v="75"/>
    <x v="1"/>
    <s v="Sleep Apnea"/>
  </r>
  <r>
    <x v="266"/>
    <x v="0"/>
    <n v="48"/>
    <x v="1"/>
    <s v="Doctor"/>
    <x v="15"/>
    <x v="2"/>
    <x v="14"/>
    <x v="5"/>
    <x v="2"/>
    <x v="21"/>
    <x v="16"/>
    <x v="14"/>
    <n v="83"/>
    <x v="3"/>
    <s v="Insomnia"/>
  </r>
  <r>
    <x v="267"/>
    <x v="1"/>
    <n v="49"/>
    <x v="1"/>
    <s v="Nurse"/>
    <x v="1"/>
    <x v="0"/>
    <x v="12"/>
    <x v="1"/>
    <x v="0"/>
    <x v="22"/>
    <x v="2"/>
    <x v="15"/>
    <n v="75"/>
    <x v="1"/>
    <s v="None"/>
  </r>
  <r>
    <x v="268"/>
    <x v="1"/>
    <n v="49"/>
    <x v="1"/>
    <s v="Nurse"/>
    <x v="5"/>
    <x v="0"/>
    <x v="12"/>
    <x v="1"/>
    <x v="0"/>
    <x v="22"/>
    <x v="2"/>
    <x v="15"/>
    <n v="75"/>
    <x v="1"/>
    <s v="Sleep Apnea"/>
  </r>
  <r>
    <x v="269"/>
    <x v="1"/>
    <n v="49"/>
    <x v="1"/>
    <s v="Nurse"/>
    <x v="0"/>
    <x v="0"/>
    <x v="12"/>
    <x v="1"/>
    <x v="0"/>
    <x v="22"/>
    <x v="2"/>
    <x v="15"/>
    <n v="75"/>
    <x v="1"/>
    <s v="Sleep Apnea"/>
  </r>
  <r>
    <x v="270"/>
    <x v="1"/>
    <n v="49"/>
    <x v="1"/>
    <s v="Nurse"/>
    <x v="0"/>
    <x v="0"/>
    <x v="12"/>
    <x v="1"/>
    <x v="0"/>
    <x v="22"/>
    <x v="2"/>
    <x v="15"/>
    <n v="75"/>
    <x v="1"/>
    <s v="Sleep Apnea"/>
  </r>
  <r>
    <x v="271"/>
    <x v="1"/>
    <n v="49"/>
    <x v="1"/>
    <s v="Nurse"/>
    <x v="0"/>
    <x v="0"/>
    <x v="12"/>
    <x v="1"/>
    <x v="0"/>
    <x v="22"/>
    <x v="2"/>
    <x v="15"/>
    <n v="75"/>
    <x v="1"/>
    <s v="Sleep Apnea"/>
  </r>
  <r>
    <x v="272"/>
    <x v="1"/>
    <n v="49"/>
    <x v="1"/>
    <s v="Nurse"/>
    <x v="0"/>
    <x v="0"/>
    <x v="12"/>
    <x v="1"/>
    <x v="0"/>
    <x v="22"/>
    <x v="2"/>
    <x v="15"/>
    <n v="75"/>
    <x v="1"/>
    <s v="Sleep Apnea"/>
  </r>
  <r>
    <x v="273"/>
    <x v="1"/>
    <n v="49"/>
    <x v="1"/>
    <s v="Nurse"/>
    <x v="1"/>
    <x v="0"/>
    <x v="12"/>
    <x v="1"/>
    <x v="0"/>
    <x v="22"/>
    <x v="2"/>
    <x v="15"/>
    <n v="75"/>
    <x v="1"/>
    <s v="Sleep Apnea"/>
  </r>
  <r>
    <x v="274"/>
    <x v="1"/>
    <n v="49"/>
    <x v="1"/>
    <s v="Nurse"/>
    <x v="1"/>
    <x v="0"/>
    <x v="12"/>
    <x v="1"/>
    <x v="0"/>
    <x v="22"/>
    <x v="2"/>
    <x v="15"/>
    <n v="75"/>
    <x v="1"/>
    <s v="Sleep Apnea"/>
  </r>
  <r>
    <x v="275"/>
    <x v="1"/>
    <n v="49"/>
    <x v="1"/>
    <s v="Nurse"/>
    <x v="1"/>
    <x v="0"/>
    <x v="12"/>
    <x v="1"/>
    <x v="0"/>
    <x v="22"/>
    <x v="2"/>
    <x v="15"/>
    <n v="75"/>
    <x v="1"/>
    <s v="Sleep Apnea"/>
  </r>
  <r>
    <x v="276"/>
    <x v="0"/>
    <n v="49"/>
    <x v="1"/>
    <s v="Doctor"/>
    <x v="22"/>
    <x v="5"/>
    <x v="15"/>
    <x v="4"/>
    <x v="2"/>
    <x v="23"/>
    <x v="17"/>
    <x v="16"/>
    <n v="86"/>
    <x v="19"/>
    <s v="Sleep Apnea"/>
  </r>
  <r>
    <x v="277"/>
    <x v="0"/>
    <n v="49"/>
    <x v="1"/>
    <s v="Doctor"/>
    <x v="22"/>
    <x v="5"/>
    <x v="15"/>
    <x v="4"/>
    <x v="2"/>
    <x v="23"/>
    <x v="17"/>
    <x v="16"/>
    <n v="86"/>
    <x v="19"/>
    <s v="Sleep Apnea"/>
  </r>
  <r>
    <x v="278"/>
    <x v="1"/>
    <n v="50"/>
    <x v="2"/>
    <s v="Nurse"/>
    <x v="0"/>
    <x v="0"/>
    <x v="12"/>
    <x v="1"/>
    <x v="0"/>
    <x v="22"/>
    <x v="2"/>
    <x v="15"/>
    <n v="75"/>
    <x v="1"/>
    <s v="Insomnia"/>
  </r>
  <r>
    <x v="279"/>
    <x v="1"/>
    <n v="50"/>
    <x v="2"/>
    <s v="Engineer"/>
    <x v="23"/>
    <x v="5"/>
    <x v="2"/>
    <x v="4"/>
    <x v="1"/>
    <x v="1"/>
    <x v="1"/>
    <x v="1"/>
    <n v="65"/>
    <x v="8"/>
    <s v="None"/>
  </r>
  <r>
    <x v="280"/>
    <x v="1"/>
    <n v="50"/>
    <x v="2"/>
    <s v="Nurse"/>
    <x v="5"/>
    <x v="0"/>
    <x v="12"/>
    <x v="1"/>
    <x v="0"/>
    <x v="22"/>
    <x v="2"/>
    <x v="15"/>
    <n v="75"/>
    <x v="1"/>
    <s v="None"/>
  </r>
  <r>
    <x v="281"/>
    <x v="1"/>
    <n v="50"/>
    <x v="2"/>
    <s v="Nurse"/>
    <x v="0"/>
    <x v="0"/>
    <x v="12"/>
    <x v="1"/>
    <x v="0"/>
    <x v="22"/>
    <x v="2"/>
    <x v="15"/>
    <n v="75"/>
    <x v="1"/>
    <s v="Sleep Apnea"/>
  </r>
  <r>
    <x v="282"/>
    <x v="1"/>
    <n v="50"/>
    <x v="2"/>
    <s v="Nurse"/>
    <x v="5"/>
    <x v="0"/>
    <x v="12"/>
    <x v="1"/>
    <x v="0"/>
    <x v="22"/>
    <x v="2"/>
    <x v="15"/>
    <n v="75"/>
    <x v="1"/>
    <s v="Sleep Apnea"/>
  </r>
  <r>
    <x v="283"/>
    <x v="1"/>
    <n v="50"/>
    <x v="2"/>
    <s v="Nurse"/>
    <x v="5"/>
    <x v="0"/>
    <x v="12"/>
    <x v="1"/>
    <x v="0"/>
    <x v="22"/>
    <x v="2"/>
    <x v="15"/>
    <n v="75"/>
    <x v="1"/>
    <s v="Sleep Apnea"/>
  </r>
  <r>
    <x v="284"/>
    <x v="1"/>
    <n v="50"/>
    <x v="2"/>
    <s v="Nurse"/>
    <x v="5"/>
    <x v="0"/>
    <x v="12"/>
    <x v="1"/>
    <x v="0"/>
    <x v="22"/>
    <x v="2"/>
    <x v="15"/>
    <n v="75"/>
    <x v="1"/>
    <s v="Sleep Apnea"/>
  </r>
  <r>
    <x v="285"/>
    <x v="1"/>
    <n v="50"/>
    <x v="2"/>
    <s v="Nurse"/>
    <x v="5"/>
    <x v="0"/>
    <x v="12"/>
    <x v="1"/>
    <x v="0"/>
    <x v="22"/>
    <x v="2"/>
    <x v="15"/>
    <n v="75"/>
    <x v="1"/>
    <s v="Sleep Apnea"/>
  </r>
  <r>
    <x v="286"/>
    <x v="1"/>
    <n v="50"/>
    <x v="2"/>
    <s v="Nurse"/>
    <x v="5"/>
    <x v="0"/>
    <x v="12"/>
    <x v="1"/>
    <x v="0"/>
    <x v="22"/>
    <x v="2"/>
    <x v="15"/>
    <n v="75"/>
    <x v="1"/>
    <s v="Sleep Apnea"/>
  </r>
  <r>
    <x v="287"/>
    <x v="1"/>
    <n v="50"/>
    <x v="2"/>
    <s v="Nurse"/>
    <x v="5"/>
    <x v="0"/>
    <x v="12"/>
    <x v="1"/>
    <x v="0"/>
    <x v="22"/>
    <x v="2"/>
    <x v="15"/>
    <n v="75"/>
    <x v="1"/>
    <s v="Sleep Apnea"/>
  </r>
  <r>
    <x v="288"/>
    <x v="1"/>
    <n v="50"/>
    <x v="2"/>
    <s v="Nurse"/>
    <x v="5"/>
    <x v="0"/>
    <x v="12"/>
    <x v="1"/>
    <x v="0"/>
    <x v="22"/>
    <x v="2"/>
    <x v="15"/>
    <n v="75"/>
    <x v="1"/>
    <s v="Sleep Apnea"/>
  </r>
  <r>
    <x v="289"/>
    <x v="1"/>
    <n v="50"/>
    <x v="2"/>
    <s v="Nurse"/>
    <x v="0"/>
    <x v="0"/>
    <x v="12"/>
    <x v="1"/>
    <x v="0"/>
    <x v="22"/>
    <x v="2"/>
    <x v="15"/>
    <n v="75"/>
    <x v="1"/>
    <s v="Sleep Apnea"/>
  </r>
  <r>
    <x v="290"/>
    <x v="1"/>
    <n v="50"/>
    <x v="2"/>
    <s v="Nurse"/>
    <x v="5"/>
    <x v="0"/>
    <x v="12"/>
    <x v="1"/>
    <x v="0"/>
    <x v="22"/>
    <x v="2"/>
    <x v="15"/>
    <n v="75"/>
    <x v="1"/>
    <s v="Sleep Apnea"/>
  </r>
  <r>
    <x v="291"/>
    <x v="1"/>
    <n v="50"/>
    <x v="2"/>
    <s v="Nurse"/>
    <x v="0"/>
    <x v="0"/>
    <x v="12"/>
    <x v="1"/>
    <x v="0"/>
    <x v="22"/>
    <x v="2"/>
    <x v="15"/>
    <n v="75"/>
    <x v="1"/>
    <s v="Sleep Apnea"/>
  </r>
  <r>
    <x v="292"/>
    <x v="1"/>
    <n v="50"/>
    <x v="2"/>
    <s v="Nurse"/>
    <x v="0"/>
    <x v="0"/>
    <x v="12"/>
    <x v="1"/>
    <x v="0"/>
    <x v="22"/>
    <x v="2"/>
    <x v="15"/>
    <n v="75"/>
    <x v="1"/>
    <s v="Sleep Apnea"/>
  </r>
  <r>
    <x v="293"/>
    <x v="1"/>
    <n v="50"/>
    <x v="2"/>
    <s v="Nurse"/>
    <x v="5"/>
    <x v="0"/>
    <x v="12"/>
    <x v="1"/>
    <x v="0"/>
    <x v="22"/>
    <x v="2"/>
    <x v="15"/>
    <n v="75"/>
    <x v="1"/>
    <s v="Sleep Apnea"/>
  </r>
  <r>
    <x v="294"/>
    <x v="1"/>
    <n v="50"/>
    <x v="2"/>
    <s v="Nurse"/>
    <x v="0"/>
    <x v="0"/>
    <x v="12"/>
    <x v="1"/>
    <x v="0"/>
    <x v="22"/>
    <x v="2"/>
    <x v="15"/>
    <n v="75"/>
    <x v="1"/>
    <s v="Sleep Apnea"/>
  </r>
  <r>
    <x v="295"/>
    <x v="1"/>
    <n v="50"/>
    <x v="2"/>
    <s v="Nurse"/>
    <x v="5"/>
    <x v="0"/>
    <x v="12"/>
    <x v="1"/>
    <x v="0"/>
    <x v="22"/>
    <x v="2"/>
    <x v="15"/>
    <n v="75"/>
    <x v="1"/>
    <s v="Sleep Apnea"/>
  </r>
  <r>
    <x v="296"/>
    <x v="1"/>
    <n v="50"/>
    <x v="2"/>
    <s v="Nurse"/>
    <x v="0"/>
    <x v="0"/>
    <x v="12"/>
    <x v="1"/>
    <x v="0"/>
    <x v="22"/>
    <x v="2"/>
    <x v="15"/>
    <n v="75"/>
    <x v="1"/>
    <s v="Sleep Apnea"/>
  </r>
  <r>
    <x v="297"/>
    <x v="1"/>
    <n v="50"/>
    <x v="2"/>
    <s v="Nurse"/>
    <x v="0"/>
    <x v="0"/>
    <x v="12"/>
    <x v="1"/>
    <x v="0"/>
    <x v="22"/>
    <x v="2"/>
    <x v="15"/>
    <n v="75"/>
    <x v="1"/>
    <s v="Sleep Apnea"/>
  </r>
  <r>
    <x v="298"/>
    <x v="1"/>
    <n v="51"/>
    <x v="2"/>
    <s v="Engineer"/>
    <x v="24"/>
    <x v="5"/>
    <x v="2"/>
    <x v="4"/>
    <x v="1"/>
    <x v="1"/>
    <x v="1"/>
    <x v="1"/>
    <n v="65"/>
    <x v="8"/>
    <s v="None"/>
  </r>
  <r>
    <x v="299"/>
    <x v="1"/>
    <n v="51"/>
    <x v="2"/>
    <s v="Engineer"/>
    <x v="24"/>
    <x v="5"/>
    <x v="2"/>
    <x v="4"/>
    <x v="1"/>
    <x v="1"/>
    <x v="1"/>
    <x v="1"/>
    <n v="65"/>
    <x v="8"/>
    <s v="None"/>
  </r>
  <r>
    <x v="300"/>
    <x v="1"/>
    <n v="51"/>
    <x v="2"/>
    <s v="Engineer"/>
    <x v="24"/>
    <x v="5"/>
    <x v="2"/>
    <x v="4"/>
    <x v="1"/>
    <x v="1"/>
    <x v="1"/>
    <x v="1"/>
    <n v="65"/>
    <x v="8"/>
    <s v="None"/>
  </r>
  <r>
    <x v="301"/>
    <x v="1"/>
    <n v="51"/>
    <x v="2"/>
    <s v="Engineer"/>
    <x v="24"/>
    <x v="5"/>
    <x v="2"/>
    <x v="4"/>
    <x v="1"/>
    <x v="1"/>
    <x v="1"/>
    <x v="1"/>
    <n v="65"/>
    <x v="8"/>
    <s v="None"/>
  </r>
  <r>
    <x v="302"/>
    <x v="1"/>
    <n v="51"/>
    <x v="2"/>
    <s v="Nurse"/>
    <x v="17"/>
    <x v="2"/>
    <x v="11"/>
    <x v="0"/>
    <x v="1"/>
    <x v="18"/>
    <x v="1"/>
    <x v="13"/>
    <n v="72"/>
    <x v="18"/>
    <s v="None"/>
  </r>
  <r>
    <x v="303"/>
    <x v="1"/>
    <n v="51"/>
    <x v="2"/>
    <s v="Nurse"/>
    <x v="5"/>
    <x v="0"/>
    <x v="12"/>
    <x v="1"/>
    <x v="0"/>
    <x v="22"/>
    <x v="2"/>
    <x v="15"/>
    <n v="75"/>
    <x v="1"/>
    <s v="Sleep Apnea"/>
  </r>
  <r>
    <x v="304"/>
    <x v="1"/>
    <n v="51"/>
    <x v="2"/>
    <s v="Nurse"/>
    <x v="0"/>
    <x v="0"/>
    <x v="12"/>
    <x v="1"/>
    <x v="0"/>
    <x v="22"/>
    <x v="2"/>
    <x v="15"/>
    <n v="75"/>
    <x v="1"/>
    <s v="Sleep Apnea"/>
  </r>
  <r>
    <x v="305"/>
    <x v="1"/>
    <n v="51"/>
    <x v="2"/>
    <s v="Nurse"/>
    <x v="0"/>
    <x v="0"/>
    <x v="12"/>
    <x v="1"/>
    <x v="0"/>
    <x v="22"/>
    <x v="2"/>
    <x v="15"/>
    <n v="75"/>
    <x v="1"/>
    <s v="Sleep Apnea"/>
  </r>
  <r>
    <x v="306"/>
    <x v="1"/>
    <n v="52"/>
    <x v="2"/>
    <s v="Accountant"/>
    <x v="6"/>
    <x v="2"/>
    <x v="6"/>
    <x v="2"/>
    <x v="0"/>
    <x v="14"/>
    <x v="5"/>
    <x v="6"/>
    <n v="72"/>
    <x v="18"/>
    <s v="Insomnia"/>
  </r>
  <r>
    <x v="307"/>
    <x v="1"/>
    <n v="52"/>
    <x v="2"/>
    <s v="Accountant"/>
    <x v="6"/>
    <x v="2"/>
    <x v="6"/>
    <x v="2"/>
    <x v="0"/>
    <x v="14"/>
    <x v="5"/>
    <x v="6"/>
    <n v="72"/>
    <x v="18"/>
    <s v="Insomnia"/>
  </r>
  <r>
    <x v="308"/>
    <x v="1"/>
    <n v="52"/>
    <x v="2"/>
    <s v="Accountant"/>
    <x v="18"/>
    <x v="2"/>
    <x v="6"/>
    <x v="2"/>
    <x v="0"/>
    <x v="14"/>
    <x v="5"/>
    <x v="6"/>
    <n v="72"/>
    <x v="18"/>
    <s v="Insomnia"/>
  </r>
  <r>
    <x v="309"/>
    <x v="1"/>
    <n v="52"/>
    <x v="2"/>
    <s v="Accountant"/>
    <x v="18"/>
    <x v="2"/>
    <x v="6"/>
    <x v="2"/>
    <x v="0"/>
    <x v="14"/>
    <x v="5"/>
    <x v="6"/>
    <n v="72"/>
    <x v="18"/>
    <s v="Insomnia"/>
  </r>
  <r>
    <x v="310"/>
    <x v="1"/>
    <n v="52"/>
    <x v="2"/>
    <s v="Accountant"/>
    <x v="18"/>
    <x v="2"/>
    <x v="6"/>
    <x v="2"/>
    <x v="0"/>
    <x v="14"/>
    <x v="5"/>
    <x v="6"/>
    <n v="72"/>
    <x v="18"/>
    <s v="Insomnia"/>
  </r>
  <r>
    <x v="311"/>
    <x v="1"/>
    <n v="52"/>
    <x v="2"/>
    <s v="Accountant"/>
    <x v="18"/>
    <x v="2"/>
    <x v="6"/>
    <x v="2"/>
    <x v="0"/>
    <x v="14"/>
    <x v="5"/>
    <x v="6"/>
    <n v="72"/>
    <x v="18"/>
    <s v="Insomnia"/>
  </r>
  <r>
    <x v="312"/>
    <x v="1"/>
    <n v="52"/>
    <x v="2"/>
    <s v="Engineer"/>
    <x v="25"/>
    <x v="5"/>
    <x v="2"/>
    <x v="4"/>
    <x v="1"/>
    <x v="1"/>
    <x v="1"/>
    <x v="1"/>
    <n v="65"/>
    <x v="8"/>
    <s v="None"/>
  </r>
  <r>
    <x v="313"/>
    <x v="1"/>
    <n v="52"/>
    <x v="2"/>
    <s v="Engineer"/>
    <x v="25"/>
    <x v="5"/>
    <x v="2"/>
    <x v="4"/>
    <x v="1"/>
    <x v="1"/>
    <x v="1"/>
    <x v="1"/>
    <n v="65"/>
    <x v="8"/>
    <s v="None"/>
  </r>
  <r>
    <x v="314"/>
    <x v="1"/>
    <n v="52"/>
    <x v="2"/>
    <s v="Engineer"/>
    <x v="25"/>
    <x v="5"/>
    <x v="2"/>
    <x v="4"/>
    <x v="1"/>
    <x v="1"/>
    <x v="1"/>
    <x v="1"/>
    <n v="65"/>
    <x v="8"/>
    <s v="None"/>
  </r>
  <r>
    <x v="315"/>
    <x v="1"/>
    <n v="53"/>
    <x v="2"/>
    <s v="Engineer"/>
    <x v="23"/>
    <x v="5"/>
    <x v="2"/>
    <x v="4"/>
    <x v="1"/>
    <x v="1"/>
    <x v="1"/>
    <x v="1"/>
    <n v="65"/>
    <x v="8"/>
    <s v="Insomnia"/>
  </r>
  <r>
    <x v="316"/>
    <x v="1"/>
    <n v="53"/>
    <x v="2"/>
    <s v="Engineer"/>
    <x v="24"/>
    <x v="5"/>
    <x v="2"/>
    <x v="4"/>
    <x v="1"/>
    <x v="1"/>
    <x v="1"/>
    <x v="1"/>
    <n v="65"/>
    <x v="8"/>
    <s v="None"/>
  </r>
  <r>
    <x v="317"/>
    <x v="1"/>
    <n v="53"/>
    <x v="2"/>
    <s v="Engineer"/>
    <x v="24"/>
    <x v="5"/>
    <x v="2"/>
    <x v="4"/>
    <x v="1"/>
    <x v="1"/>
    <x v="1"/>
    <x v="1"/>
    <n v="65"/>
    <x v="8"/>
    <s v="None"/>
  </r>
  <r>
    <x v="318"/>
    <x v="1"/>
    <n v="53"/>
    <x v="2"/>
    <s v="Engineer"/>
    <x v="25"/>
    <x v="5"/>
    <x v="2"/>
    <x v="4"/>
    <x v="1"/>
    <x v="1"/>
    <x v="1"/>
    <x v="1"/>
    <n v="65"/>
    <x v="8"/>
    <s v="None"/>
  </r>
  <r>
    <x v="319"/>
    <x v="1"/>
    <n v="53"/>
    <x v="2"/>
    <s v="Engineer"/>
    <x v="25"/>
    <x v="5"/>
    <x v="2"/>
    <x v="4"/>
    <x v="1"/>
    <x v="1"/>
    <x v="1"/>
    <x v="1"/>
    <n v="65"/>
    <x v="8"/>
    <s v="None"/>
  </r>
  <r>
    <x v="320"/>
    <x v="1"/>
    <n v="53"/>
    <x v="2"/>
    <s v="Engineer"/>
    <x v="24"/>
    <x v="5"/>
    <x v="2"/>
    <x v="4"/>
    <x v="1"/>
    <x v="1"/>
    <x v="1"/>
    <x v="1"/>
    <n v="65"/>
    <x v="8"/>
    <s v="None"/>
  </r>
  <r>
    <x v="321"/>
    <x v="1"/>
    <n v="53"/>
    <x v="2"/>
    <s v="Engineer"/>
    <x v="25"/>
    <x v="5"/>
    <x v="2"/>
    <x v="4"/>
    <x v="1"/>
    <x v="1"/>
    <x v="1"/>
    <x v="1"/>
    <n v="65"/>
    <x v="8"/>
    <s v="None"/>
  </r>
  <r>
    <x v="322"/>
    <x v="1"/>
    <n v="53"/>
    <x v="2"/>
    <s v="Engineer"/>
    <x v="25"/>
    <x v="5"/>
    <x v="2"/>
    <x v="4"/>
    <x v="1"/>
    <x v="1"/>
    <x v="1"/>
    <x v="1"/>
    <n v="65"/>
    <x v="8"/>
    <s v="None"/>
  </r>
  <r>
    <x v="323"/>
    <x v="1"/>
    <n v="53"/>
    <x v="2"/>
    <s v="Engineer"/>
    <x v="24"/>
    <x v="5"/>
    <x v="2"/>
    <x v="4"/>
    <x v="1"/>
    <x v="1"/>
    <x v="1"/>
    <x v="1"/>
    <n v="65"/>
    <x v="8"/>
    <s v="None"/>
  </r>
  <r>
    <x v="324"/>
    <x v="1"/>
    <n v="53"/>
    <x v="2"/>
    <s v="Engineer"/>
    <x v="23"/>
    <x v="5"/>
    <x v="2"/>
    <x v="4"/>
    <x v="1"/>
    <x v="1"/>
    <x v="1"/>
    <x v="1"/>
    <n v="65"/>
    <x v="8"/>
    <s v="None"/>
  </r>
  <r>
    <x v="325"/>
    <x v="1"/>
    <n v="53"/>
    <x v="2"/>
    <s v="Engineer"/>
    <x v="24"/>
    <x v="5"/>
    <x v="2"/>
    <x v="4"/>
    <x v="1"/>
    <x v="1"/>
    <x v="1"/>
    <x v="1"/>
    <n v="65"/>
    <x v="8"/>
    <s v="None"/>
  </r>
  <r>
    <x v="326"/>
    <x v="1"/>
    <n v="53"/>
    <x v="2"/>
    <s v="Engineer"/>
    <x v="23"/>
    <x v="5"/>
    <x v="2"/>
    <x v="4"/>
    <x v="1"/>
    <x v="1"/>
    <x v="1"/>
    <x v="1"/>
    <n v="65"/>
    <x v="8"/>
    <s v="None"/>
  </r>
  <r>
    <x v="327"/>
    <x v="1"/>
    <n v="53"/>
    <x v="2"/>
    <s v="Engineer"/>
    <x v="24"/>
    <x v="5"/>
    <x v="2"/>
    <x v="4"/>
    <x v="1"/>
    <x v="1"/>
    <x v="1"/>
    <x v="1"/>
    <n v="65"/>
    <x v="8"/>
    <s v="None"/>
  </r>
  <r>
    <x v="328"/>
    <x v="1"/>
    <n v="53"/>
    <x v="2"/>
    <s v="Engineer"/>
    <x v="23"/>
    <x v="5"/>
    <x v="2"/>
    <x v="4"/>
    <x v="1"/>
    <x v="1"/>
    <x v="1"/>
    <x v="1"/>
    <n v="65"/>
    <x v="8"/>
    <s v="None"/>
  </r>
  <r>
    <x v="329"/>
    <x v="1"/>
    <n v="53"/>
    <x v="2"/>
    <s v="Engineer"/>
    <x v="24"/>
    <x v="5"/>
    <x v="2"/>
    <x v="4"/>
    <x v="1"/>
    <x v="1"/>
    <x v="1"/>
    <x v="1"/>
    <n v="65"/>
    <x v="8"/>
    <s v="None"/>
  </r>
  <r>
    <x v="330"/>
    <x v="1"/>
    <n v="53"/>
    <x v="2"/>
    <s v="Engineer"/>
    <x v="24"/>
    <x v="5"/>
    <x v="2"/>
    <x v="4"/>
    <x v="1"/>
    <x v="1"/>
    <x v="1"/>
    <x v="1"/>
    <n v="65"/>
    <x v="8"/>
    <s v="None"/>
  </r>
  <r>
    <x v="331"/>
    <x v="1"/>
    <n v="53"/>
    <x v="2"/>
    <s v="Engineer"/>
    <x v="25"/>
    <x v="5"/>
    <x v="2"/>
    <x v="4"/>
    <x v="1"/>
    <x v="1"/>
    <x v="1"/>
    <x v="1"/>
    <n v="65"/>
    <x v="8"/>
    <s v="None"/>
  </r>
  <r>
    <x v="332"/>
    <x v="1"/>
    <n v="54"/>
    <x v="2"/>
    <s v="Engineer"/>
    <x v="25"/>
    <x v="5"/>
    <x v="2"/>
    <x v="4"/>
    <x v="1"/>
    <x v="1"/>
    <x v="1"/>
    <x v="1"/>
    <n v="65"/>
    <x v="8"/>
    <s v="None"/>
  </r>
  <r>
    <x v="333"/>
    <x v="1"/>
    <n v="54"/>
    <x v="2"/>
    <s v="Engineer"/>
    <x v="25"/>
    <x v="5"/>
    <x v="2"/>
    <x v="4"/>
    <x v="1"/>
    <x v="1"/>
    <x v="1"/>
    <x v="1"/>
    <n v="65"/>
    <x v="8"/>
    <s v="None"/>
  </r>
  <r>
    <x v="334"/>
    <x v="1"/>
    <n v="54"/>
    <x v="2"/>
    <s v="Engineer"/>
    <x v="25"/>
    <x v="5"/>
    <x v="2"/>
    <x v="4"/>
    <x v="1"/>
    <x v="1"/>
    <x v="1"/>
    <x v="1"/>
    <n v="65"/>
    <x v="8"/>
    <s v="None"/>
  </r>
  <r>
    <x v="335"/>
    <x v="1"/>
    <n v="54"/>
    <x v="2"/>
    <s v="Engineer"/>
    <x v="25"/>
    <x v="5"/>
    <x v="2"/>
    <x v="4"/>
    <x v="1"/>
    <x v="1"/>
    <x v="1"/>
    <x v="1"/>
    <n v="65"/>
    <x v="8"/>
    <s v="None"/>
  </r>
  <r>
    <x v="336"/>
    <x v="1"/>
    <n v="54"/>
    <x v="2"/>
    <s v="Engineer"/>
    <x v="25"/>
    <x v="5"/>
    <x v="2"/>
    <x v="4"/>
    <x v="1"/>
    <x v="1"/>
    <x v="1"/>
    <x v="1"/>
    <n v="65"/>
    <x v="8"/>
    <s v="None"/>
  </r>
  <r>
    <x v="337"/>
    <x v="1"/>
    <n v="54"/>
    <x v="2"/>
    <s v="Engineer"/>
    <x v="25"/>
    <x v="5"/>
    <x v="2"/>
    <x v="4"/>
    <x v="1"/>
    <x v="1"/>
    <x v="1"/>
    <x v="1"/>
    <n v="65"/>
    <x v="8"/>
    <s v="None"/>
  </r>
  <r>
    <x v="338"/>
    <x v="1"/>
    <n v="54"/>
    <x v="2"/>
    <s v="Engineer"/>
    <x v="24"/>
    <x v="5"/>
    <x v="2"/>
    <x v="4"/>
    <x v="1"/>
    <x v="1"/>
    <x v="1"/>
    <x v="1"/>
    <n v="65"/>
    <x v="8"/>
    <s v="None"/>
  </r>
  <r>
    <x v="339"/>
    <x v="1"/>
    <n v="55"/>
    <x v="2"/>
    <s v="Nurse"/>
    <x v="22"/>
    <x v="5"/>
    <x v="4"/>
    <x v="3"/>
    <x v="0"/>
    <x v="22"/>
    <x v="2"/>
    <x v="15"/>
    <n v="72"/>
    <x v="8"/>
    <s v="Sleep Apnea"/>
  </r>
  <r>
    <x v="340"/>
    <x v="1"/>
    <n v="55"/>
    <x v="2"/>
    <s v="Nurse"/>
    <x v="22"/>
    <x v="5"/>
    <x v="4"/>
    <x v="3"/>
    <x v="0"/>
    <x v="22"/>
    <x v="2"/>
    <x v="15"/>
    <n v="72"/>
    <x v="8"/>
    <s v="Sleep Apnea"/>
  </r>
  <r>
    <x v="341"/>
    <x v="1"/>
    <n v="56"/>
    <x v="2"/>
    <s v="Doctor"/>
    <x v="26"/>
    <x v="5"/>
    <x v="12"/>
    <x v="4"/>
    <x v="1"/>
    <x v="24"/>
    <x v="7"/>
    <x v="8"/>
    <n v="65"/>
    <x v="1"/>
    <s v="None"/>
  </r>
  <r>
    <x v="342"/>
    <x v="1"/>
    <n v="56"/>
    <x v="2"/>
    <s v="Doctor"/>
    <x v="26"/>
    <x v="5"/>
    <x v="12"/>
    <x v="4"/>
    <x v="1"/>
    <x v="24"/>
    <x v="7"/>
    <x v="8"/>
    <n v="65"/>
    <x v="1"/>
    <s v="None"/>
  </r>
  <r>
    <x v="343"/>
    <x v="1"/>
    <n v="57"/>
    <x v="2"/>
    <s v="Nurse"/>
    <x v="22"/>
    <x v="5"/>
    <x v="4"/>
    <x v="4"/>
    <x v="0"/>
    <x v="22"/>
    <x v="2"/>
    <x v="15"/>
    <n v="68"/>
    <x v="9"/>
    <s v="None"/>
  </r>
  <r>
    <x v="344"/>
    <x v="1"/>
    <n v="57"/>
    <x v="2"/>
    <s v="Nurse"/>
    <x v="26"/>
    <x v="5"/>
    <x v="4"/>
    <x v="4"/>
    <x v="0"/>
    <x v="22"/>
    <x v="2"/>
    <x v="15"/>
    <n v="68"/>
    <x v="9"/>
    <s v="Sleep Apnea"/>
  </r>
  <r>
    <x v="345"/>
    <x v="1"/>
    <n v="57"/>
    <x v="2"/>
    <s v="Nurse"/>
    <x v="26"/>
    <x v="5"/>
    <x v="4"/>
    <x v="4"/>
    <x v="0"/>
    <x v="22"/>
    <x v="2"/>
    <x v="15"/>
    <n v="68"/>
    <x v="9"/>
    <s v="Sleep Apnea"/>
  </r>
  <r>
    <x v="346"/>
    <x v="1"/>
    <n v="57"/>
    <x v="2"/>
    <s v="Nurse"/>
    <x v="26"/>
    <x v="5"/>
    <x v="4"/>
    <x v="4"/>
    <x v="0"/>
    <x v="22"/>
    <x v="2"/>
    <x v="15"/>
    <n v="68"/>
    <x v="9"/>
    <s v="Sleep Apnea"/>
  </r>
  <r>
    <x v="347"/>
    <x v="1"/>
    <n v="57"/>
    <x v="2"/>
    <s v="Nurse"/>
    <x v="26"/>
    <x v="5"/>
    <x v="4"/>
    <x v="4"/>
    <x v="0"/>
    <x v="22"/>
    <x v="2"/>
    <x v="15"/>
    <n v="68"/>
    <x v="9"/>
    <s v="Sleep Apnea"/>
  </r>
  <r>
    <x v="348"/>
    <x v="1"/>
    <n v="57"/>
    <x v="2"/>
    <s v="Nurse"/>
    <x v="26"/>
    <x v="5"/>
    <x v="4"/>
    <x v="4"/>
    <x v="0"/>
    <x v="22"/>
    <x v="2"/>
    <x v="15"/>
    <n v="68"/>
    <x v="9"/>
    <s v="Sleep Apnea"/>
  </r>
  <r>
    <x v="349"/>
    <x v="1"/>
    <n v="57"/>
    <x v="2"/>
    <s v="Nurse"/>
    <x v="22"/>
    <x v="5"/>
    <x v="4"/>
    <x v="4"/>
    <x v="0"/>
    <x v="22"/>
    <x v="2"/>
    <x v="15"/>
    <n v="68"/>
    <x v="9"/>
    <s v="Sleep Apnea"/>
  </r>
  <r>
    <x v="350"/>
    <x v="1"/>
    <n v="57"/>
    <x v="2"/>
    <s v="Nurse"/>
    <x v="22"/>
    <x v="5"/>
    <x v="4"/>
    <x v="4"/>
    <x v="0"/>
    <x v="22"/>
    <x v="2"/>
    <x v="15"/>
    <n v="68"/>
    <x v="9"/>
    <s v="Sleep Apnea"/>
  </r>
  <r>
    <x v="351"/>
    <x v="1"/>
    <n v="57"/>
    <x v="2"/>
    <s v="Nurse"/>
    <x v="22"/>
    <x v="5"/>
    <x v="4"/>
    <x v="4"/>
    <x v="0"/>
    <x v="22"/>
    <x v="2"/>
    <x v="15"/>
    <n v="68"/>
    <x v="9"/>
    <s v="Sleep Apnea"/>
  </r>
  <r>
    <x v="352"/>
    <x v="1"/>
    <n v="58"/>
    <x v="2"/>
    <s v="Nurse"/>
    <x v="20"/>
    <x v="5"/>
    <x v="4"/>
    <x v="4"/>
    <x v="0"/>
    <x v="22"/>
    <x v="2"/>
    <x v="15"/>
    <n v="68"/>
    <x v="9"/>
    <s v="Sleep Apnea"/>
  </r>
  <r>
    <x v="353"/>
    <x v="1"/>
    <n v="58"/>
    <x v="2"/>
    <s v="Nurse"/>
    <x v="20"/>
    <x v="5"/>
    <x v="4"/>
    <x v="4"/>
    <x v="0"/>
    <x v="22"/>
    <x v="2"/>
    <x v="15"/>
    <n v="68"/>
    <x v="9"/>
    <s v="Sleep Apnea"/>
  </r>
  <r>
    <x v="354"/>
    <x v="1"/>
    <n v="58"/>
    <x v="2"/>
    <s v="Nurse"/>
    <x v="20"/>
    <x v="5"/>
    <x v="4"/>
    <x v="4"/>
    <x v="0"/>
    <x v="22"/>
    <x v="2"/>
    <x v="15"/>
    <n v="68"/>
    <x v="9"/>
    <s v="Sleep Apnea"/>
  </r>
  <r>
    <x v="355"/>
    <x v="1"/>
    <n v="58"/>
    <x v="2"/>
    <s v="Nurse"/>
    <x v="20"/>
    <x v="5"/>
    <x v="4"/>
    <x v="4"/>
    <x v="0"/>
    <x v="22"/>
    <x v="2"/>
    <x v="15"/>
    <n v="68"/>
    <x v="9"/>
    <s v="Sleep Apnea"/>
  </r>
  <r>
    <x v="356"/>
    <x v="1"/>
    <n v="58"/>
    <x v="2"/>
    <s v="Nurse"/>
    <x v="20"/>
    <x v="5"/>
    <x v="4"/>
    <x v="4"/>
    <x v="0"/>
    <x v="22"/>
    <x v="2"/>
    <x v="15"/>
    <n v="68"/>
    <x v="9"/>
    <s v="Sleep Apnea"/>
  </r>
  <r>
    <x v="357"/>
    <x v="1"/>
    <n v="58"/>
    <x v="2"/>
    <s v="Nurse"/>
    <x v="20"/>
    <x v="5"/>
    <x v="4"/>
    <x v="4"/>
    <x v="0"/>
    <x v="22"/>
    <x v="2"/>
    <x v="15"/>
    <n v="68"/>
    <x v="9"/>
    <s v="Sleep Apnea"/>
  </r>
  <r>
    <x v="358"/>
    <x v="1"/>
    <n v="59"/>
    <x v="2"/>
    <s v="Nurse"/>
    <x v="20"/>
    <x v="5"/>
    <x v="4"/>
    <x v="4"/>
    <x v="0"/>
    <x v="22"/>
    <x v="2"/>
    <x v="15"/>
    <n v="68"/>
    <x v="9"/>
    <s v="None"/>
  </r>
  <r>
    <x v="359"/>
    <x v="1"/>
    <n v="59"/>
    <x v="2"/>
    <s v="Nurse"/>
    <x v="22"/>
    <x v="5"/>
    <x v="4"/>
    <x v="4"/>
    <x v="0"/>
    <x v="22"/>
    <x v="2"/>
    <x v="15"/>
    <n v="68"/>
    <x v="9"/>
    <s v="None"/>
  </r>
  <r>
    <x v="360"/>
    <x v="1"/>
    <n v="59"/>
    <x v="2"/>
    <s v="Nurse"/>
    <x v="26"/>
    <x v="5"/>
    <x v="4"/>
    <x v="4"/>
    <x v="0"/>
    <x v="22"/>
    <x v="2"/>
    <x v="15"/>
    <n v="68"/>
    <x v="9"/>
    <s v="Sleep Apnea"/>
  </r>
  <r>
    <x v="361"/>
    <x v="1"/>
    <n v="59"/>
    <x v="2"/>
    <s v="Nurse"/>
    <x v="26"/>
    <x v="5"/>
    <x v="4"/>
    <x v="4"/>
    <x v="0"/>
    <x v="22"/>
    <x v="2"/>
    <x v="15"/>
    <n v="68"/>
    <x v="9"/>
    <s v="Sleep Apnea"/>
  </r>
  <r>
    <x v="362"/>
    <x v="1"/>
    <n v="59"/>
    <x v="2"/>
    <s v="Nurse"/>
    <x v="26"/>
    <x v="5"/>
    <x v="4"/>
    <x v="4"/>
    <x v="0"/>
    <x v="22"/>
    <x v="2"/>
    <x v="15"/>
    <n v="68"/>
    <x v="9"/>
    <s v="Sleep Apnea"/>
  </r>
  <r>
    <x v="363"/>
    <x v="1"/>
    <n v="59"/>
    <x v="2"/>
    <s v="Nurse"/>
    <x v="26"/>
    <x v="5"/>
    <x v="4"/>
    <x v="4"/>
    <x v="0"/>
    <x v="22"/>
    <x v="2"/>
    <x v="15"/>
    <n v="68"/>
    <x v="9"/>
    <s v="Sleep Apnea"/>
  </r>
  <r>
    <x v="364"/>
    <x v="1"/>
    <n v="59"/>
    <x v="2"/>
    <s v="Nurse"/>
    <x v="20"/>
    <x v="5"/>
    <x v="4"/>
    <x v="4"/>
    <x v="0"/>
    <x v="22"/>
    <x v="2"/>
    <x v="15"/>
    <n v="68"/>
    <x v="9"/>
    <s v="Sleep Apnea"/>
  </r>
  <r>
    <x v="365"/>
    <x v="1"/>
    <n v="59"/>
    <x v="2"/>
    <s v="Nurse"/>
    <x v="20"/>
    <x v="5"/>
    <x v="4"/>
    <x v="4"/>
    <x v="0"/>
    <x v="22"/>
    <x v="2"/>
    <x v="15"/>
    <n v="68"/>
    <x v="9"/>
    <s v="Sleep Apnea"/>
  </r>
  <r>
    <x v="366"/>
    <x v="1"/>
    <n v="59"/>
    <x v="2"/>
    <s v="Nurse"/>
    <x v="22"/>
    <x v="5"/>
    <x v="4"/>
    <x v="4"/>
    <x v="0"/>
    <x v="22"/>
    <x v="2"/>
    <x v="15"/>
    <n v="68"/>
    <x v="9"/>
    <s v="Sleep Apnea"/>
  </r>
  <r>
    <x v="367"/>
    <x v="1"/>
    <n v="59"/>
    <x v="2"/>
    <s v="Nurse"/>
    <x v="20"/>
    <x v="5"/>
    <x v="4"/>
    <x v="4"/>
    <x v="0"/>
    <x v="22"/>
    <x v="2"/>
    <x v="15"/>
    <n v="68"/>
    <x v="9"/>
    <s v="Sleep Apnea"/>
  </r>
  <r>
    <x v="368"/>
    <x v="1"/>
    <n v="59"/>
    <x v="2"/>
    <s v="Nurse"/>
    <x v="22"/>
    <x v="5"/>
    <x v="4"/>
    <x v="4"/>
    <x v="0"/>
    <x v="22"/>
    <x v="2"/>
    <x v="15"/>
    <n v="68"/>
    <x v="9"/>
    <s v="Sleep Apnea"/>
  </r>
  <r>
    <x v="369"/>
    <x v="1"/>
    <n v="59"/>
    <x v="2"/>
    <s v="Nurse"/>
    <x v="22"/>
    <x v="5"/>
    <x v="4"/>
    <x v="4"/>
    <x v="0"/>
    <x v="22"/>
    <x v="2"/>
    <x v="15"/>
    <n v="68"/>
    <x v="9"/>
    <s v="Sleep Apnea"/>
  </r>
  <r>
    <x v="370"/>
    <x v="1"/>
    <n v="59"/>
    <x v="2"/>
    <s v="Nurse"/>
    <x v="20"/>
    <x v="5"/>
    <x v="4"/>
    <x v="4"/>
    <x v="0"/>
    <x v="22"/>
    <x v="2"/>
    <x v="15"/>
    <n v="68"/>
    <x v="9"/>
    <s v="Sleep Apnea"/>
  </r>
  <r>
    <x v="371"/>
    <x v="1"/>
    <n v="59"/>
    <x v="2"/>
    <s v="Nurse"/>
    <x v="22"/>
    <x v="5"/>
    <x v="4"/>
    <x v="4"/>
    <x v="0"/>
    <x v="22"/>
    <x v="2"/>
    <x v="15"/>
    <n v="68"/>
    <x v="9"/>
    <s v="Sleep Apnea"/>
  </r>
  <r>
    <x v="372"/>
    <x v="1"/>
    <n v="59"/>
    <x v="2"/>
    <s v="Nurse"/>
    <x v="22"/>
    <x v="5"/>
    <x v="4"/>
    <x v="4"/>
    <x v="0"/>
    <x v="22"/>
    <x v="2"/>
    <x v="15"/>
    <n v="68"/>
    <x v="9"/>
    <s v="Sleep Apnea"/>
  </r>
  <r>
    <x v="373"/>
    <x v="1"/>
    <n v="59"/>
    <x v="2"/>
    <s v="Nurse"/>
    <x v="22"/>
    <x v="5"/>
    <x v="4"/>
    <x v="4"/>
    <x v="0"/>
    <x v="22"/>
    <x v="2"/>
    <x v="15"/>
    <n v="68"/>
    <x v="9"/>
    <s v="Sleep Apnea"/>
  </r>
  <r>
    <x v="374"/>
    <x v="2"/>
    <m/>
    <x v="3"/>
    <m/>
    <x v="27"/>
    <x v="6"/>
    <x v="16"/>
    <x v="6"/>
    <x v="3"/>
    <x v="25"/>
    <x v="18"/>
    <x v="17"/>
    <n v="26242"/>
    <x v="20"/>
    <m/>
  </r>
  <r>
    <x v="374"/>
    <x v="2"/>
    <m/>
    <x v="3"/>
    <m/>
    <x v="28"/>
    <x v="7"/>
    <x v="17"/>
    <x v="7"/>
    <x v="3"/>
    <x v="25"/>
    <x v="19"/>
    <x v="18"/>
    <n v="5.3850267379679142"/>
    <x v="21"/>
    <m/>
  </r>
  <r>
    <x v="374"/>
    <x v="2"/>
    <m/>
    <x v="3"/>
    <m/>
    <x v="29"/>
    <x v="8"/>
    <x v="18"/>
    <x v="8"/>
    <x v="3"/>
    <x v="25"/>
    <x v="20"/>
    <x v="19"/>
    <m/>
    <x v="22"/>
    <m/>
  </r>
  <r>
    <x v="374"/>
    <x v="2"/>
    <m/>
    <x v="3"/>
    <m/>
    <x v="29"/>
    <x v="8"/>
    <x v="18"/>
    <x v="8"/>
    <x v="3"/>
    <x v="25"/>
    <x v="20"/>
    <x v="19"/>
    <m/>
    <x v="22"/>
    <m/>
  </r>
  <r>
    <x v="374"/>
    <x v="2"/>
    <m/>
    <x v="3"/>
    <m/>
    <x v="29"/>
    <x v="8"/>
    <x v="18"/>
    <x v="8"/>
    <x v="3"/>
    <x v="25"/>
    <x v="20"/>
    <x v="19"/>
    <m/>
    <x v="22"/>
    <m/>
  </r>
  <r>
    <x v="374"/>
    <x v="2"/>
    <m/>
    <x v="3"/>
    <m/>
    <x v="29"/>
    <x v="8"/>
    <x v="18"/>
    <x v="8"/>
    <x v="3"/>
    <x v="25"/>
    <x v="20"/>
    <x v="19"/>
    <m/>
    <x v="22"/>
    <m/>
  </r>
  <r>
    <x v="374"/>
    <x v="2"/>
    <m/>
    <x v="3"/>
    <m/>
    <x v="29"/>
    <x v="8"/>
    <x v="18"/>
    <x v="8"/>
    <x v="3"/>
    <x v="25"/>
    <x v="20"/>
    <x v="19"/>
    <m/>
    <x v="22"/>
    <m/>
  </r>
  <r>
    <x v="374"/>
    <x v="3"/>
    <s v="sum male"/>
    <x v="3"/>
    <m/>
    <x v="30"/>
    <x v="9"/>
    <x v="19"/>
    <x v="9"/>
    <x v="4"/>
    <x v="26"/>
    <x v="21"/>
    <x v="20"/>
    <s v="sum female MINblood pressure"/>
    <x v="23"/>
    <m/>
  </r>
  <r>
    <x v="374"/>
    <x v="4"/>
    <n v="189"/>
    <x v="3"/>
    <m/>
    <x v="31"/>
    <x v="10"/>
    <x v="20"/>
    <x v="10"/>
    <x v="5"/>
    <x v="27"/>
    <x v="22"/>
    <x v="21"/>
    <n v="15969"/>
    <x v="24"/>
    <m/>
  </r>
  <r>
    <x v="374"/>
    <x v="2"/>
    <m/>
    <x v="3"/>
    <m/>
    <x v="29"/>
    <x v="8"/>
    <x v="18"/>
    <x v="8"/>
    <x v="3"/>
    <x v="25"/>
    <x v="20"/>
    <x v="19"/>
    <m/>
    <x v="22"/>
    <m/>
  </r>
  <r>
    <x v="374"/>
    <x v="2"/>
    <m/>
    <x v="3"/>
    <m/>
    <x v="29"/>
    <x v="8"/>
    <x v="18"/>
    <x v="8"/>
    <x v="3"/>
    <x v="25"/>
    <x v="20"/>
    <x v="19"/>
    <m/>
    <x v="22"/>
    <m/>
  </r>
  <r>
    <x v="374"/>
    <x v="2"/>
    <m/>
    <x v="3"/>
    <m/>
    <x v="32"/>
    <x v="11"/>
    <x v="21"/>
    <x v="11"/>
    <x v="6"/>
    <x v="28"/>
    <x v="23"/>
    <x v="22"/>
    <s v="avg female MIN blood pressure"/>
    <x v="25"/>
    <m/>
  </r>
  <r>
    <x v="374"/>
    <x v="2"/>
    <m/>
    <x v="3"/>
    <m/>
    <x v="33"/>
    <x v="12"/>
    <x v="22"/>
    <x v="12"/>
    <x v="7"/>
    <x v="29"/>
    <x v="24"/>
    <x v="23"/>
    <n v="15969"/>
    <x v="26"/>
    <m/>
  </r>
  <r>
    <x v="374"/>
    <x v="2"/>
    <m/>
    <x v="3"/>
    <m/>
    <x v="29"/>
    <x v="8"/>
    <x v="18"/>
    <x v="8"/>
    <x v="3"/>
    <x v="25"/>
    <x v="20"/>
    <x v="19"/>
    <m/>
    <x v="22"/>
    <m/>
  </r>
  <r>
    <x v="374"/>
    <x v="2"/>
    <m/>
    <x v="3"/>
    <m/>
    <x v="29"/>
    <x v="8"/>
    <x v="18"/>
    <x v="8"/>
    <x v="3"/>
    <x v="25"/>
    <x v="20"/>
    <x v="19"/>
    <m/>
    <x v="22"/>
    <m/>
  </r>
  <r>
    <x v="374"/>
    <x v="2"/>
    <m/>
    <x v="3"/>
    <m/>
    <x v="29"/>
    <x v="8"/>
    <x v="18"/>
    <x v="8"/>
    <x v="3"/>
    <x v="25"/>
    <x v="20"/>
    <x v="19"/>
    <m/>
    <x v="22"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4">
  <r>
    <x v="0"/>
    <x v="0"/>
    <x v="0"/>
  </r>
  <r>
    <x v="1"/>
    <x v="1"/>
    <x v="1"/>
  </r>
  <r>
    <x v="1"/>
    <x v="1"/>
    <x v="1"/>
  </r>
  <r>
    <x v="2"/>
    <x v="1"/>
    <x v="2"/>
  </r>
  <r>
    <x v="2"/>
    <x v="1"/>
    <x v="2"/>
  </r>
  <r>
    <x v="2"/>
    <x v="1"/>
    <x v="2"/>
  </r>
  <r>
    <x v="3"/>
    <x v="2"/>
    <x v="2"/>
  </r>
  <r>
    <x v="4"/>
    <x v="0"/>
    <x v="1"/>
  </r>
  <r>
    <x v="4"/>
    <x v="0"/>
    <x v="1"/>
  </r>
  <r>
    <x v="4"/>
    <x v="0"/>
    <x v="1"/>
  </r>
  <r>
    <x v="2"/>
    <x v="1"/>
    <x v="1"/>
  </r>
  <r>
    <x v="4"/>
    <x v="0"/>
    <x v="1"/>
  </r>
  <r>
    <x v="2"/>
    <x v="1"/>
    <x v="1"/>
  </r>
  <r>
    <x v="2"/>
    <x v="1"/>
    <x v="1"/>
  </r>
  <r>
    <x v="2"/>
    <x v="1"/>
    <x v="1"/>
  </r>
  <r>
    <x v="2"/>
    <x v="1"/>
    <x v="1"/>
  </r>
  <r>
    <x v="3"/>
    <x v="2"/>
    <x v="1"/>
  </r>
  <r>
    <x v="2"/>
    <x v="1"/>
    <x v="1"/>
  </r>
  <r>
    <x v="3"/>
    <x v="2"/>
    <x v="1"/>
  </r>
  <r>
    <x v="4"/>
    <x v="0"/>
    <x v="1"/>
  </r>
  <r>
    <x v="4"/>
    <x v="0"/>
    <x v="1"/>
  </r>
  <r>
    <x v="4"/>
    <x v="0"/>
    <x v="1"/>
  </r>
  <r>
    <x v="4"/>
    <x v="0"/>
    <x v="1"/>
  </r>
  <r>
    <x v="4"/>
    <x v="0"/>
    <x v="1"/>
  </r>
  <r>
    <x v="4"/>
    <x v="0"/>
    <x v="1"/>
  </r>
  <r>
    <x v="4"/>
    <x v="0"/>
    <x v="1"/>
  </r>
  <r>
    <x v="4"/>
    <x v="0"/>
    <x v="1"/>
  </r>
  <r>
    <x v="4"/>
    <x v="0"/>
    <x v="1"/>
  </r>
  <r>
    <x v="4"/>
    <x v="0"/>
    <x v="1"/>
  </r>
  <r>
    <x v="4"/>
    <x v="0"/>
    <x v="1"/>
  </r>
  <r>
    <x v="5"/>
    <x v="2"/>
    <x v="1"/>
  </r>
  <r>
    <x v="5"/>
    <x v="2"/>
    <x v="1"/>
  </r>
  <r>
    <x v="4"/>
    <x v="3"/>
    <x v="1"/>
  </r>
  <r>
    <x v="2"/>
    <x v="1"/>
    <x v="1"/>
  </r>
  <r>
    <x v="4"/>
    <x v="0"/>
    <x v="1"/>
  </r>
  <r>
    <x v="2"/>
    <x v="1"/>
    <x v="1"/>
  </r>
  <r>
    <x v="2"/>
    <x v="1"/>
    <x v="1"/>
  </r>
  <r>
    <x v="4"/>
    <x v="0"/>
    <x v="1"/>
  </r>
  <r>
    <x v="4"/>
    <x v="0"/>
    <x v="1"/>
  </r>
  <r>
    <x v="4"/>
    <x v="0"/>
    <x v="1"/>
  </r>
  <r>
    <x v="4"/>
    <x v="0"/>
    <x v="1"/>
  </r>
  <r>
    <x v="4"/>
    <x v="0"/>
    <x v="1"/>
  </r>
  <r>
    <x v="4"/>
    <x v="0"/>
    <x v="1"/>
  </r>
  <r>
    <x v="4"/>
    <x v="0"/>
    <x v="1"/>
  </r>
  <r>
    <x v="4"/>
    <x v="0"/>
    <x v="1"/>
  </r>
  <r>
    <x v="4"/>
    <x v="0"/>
    <x v="1"/>
  </r>
  <r>
    <x v="4"/>
    <x v="0"/>
    <x v="1"/>
  </r>
  <r>
    <x v="4"/>
    <x v="0"/>
    <x v="1"/>
  </r>
  <r>
    <x v="4"/>
    <x v="0"/>
    <x v="1"/>
  </r>
  <r>
    <x v="4"/>
    <x v="0"/>
    <x v="1"/>
  </r>
  <r>
    <x v="6"/>
    <x v="4"/>
    <x v="1"/>
  </r>
  <r>
    <x v="6"/>
    <x v="4"/>
    <x v="1"/>
  </r>
  <r>
    <x v="2"/>
    <x v="1"/>
    <x v="1"/>
  </r>
  <r>
    <x v="4"/>
    <x v="0"/>
    <x v="1"/>
  </r>
  <r>
    <x v="2"/>
    <x v="1"/>
    <x v="1"/>
  </r>
  <r>
    <x v="2"/>
    <x v="1"/>
    <x v="1"/>
  </r>
  <r>
    <x v="4"/>
    <x v="0"/>
    <x v="1"/>
  </r>
  <r>
    <x v="2"/>
    <x v="1"/>
    <x v="1"/>
  </r>
  <r>
    <x v="2"/>
    <x v="1"/>
    <x v="1"/>
  </r>
  <r>
    <x v="4"/>
    <x v="0"/>
    <x v="1"/>
  </r>
  <r>
    <x v="2"/>
    <x v="1"/>
    <x v="1"/>
  </r>
  <r>
    <x v="2"/>
    <x v="1"/>
    <x v="1"/>
  </r>
  <r>
    <x v="2"/>
    <x v="1"/>
    <x v="1"/>
  </r>
  <r>
    <x v="2"/>
    <x v="1"/>
    <x v="1"/>
  </r>
  <r>
    <x v="2"/>
    <x v="1"/>
    <x v="1"/>
  </r>
  <r>
    <x v="2"/>
    <x v="1"/>
    <x v="1"/>
  </r>
  <r>
    <x v="7"/>
    <x v="0"/>
    <x v="1"/>
  </r>
  <r>
    <x v="2"/>
    <x v="1"/>
    <x v="1"/>
  </r>
  <r>
    <x v="7"/>
    <x v="0"/>
    <x v="0"/>
  </r>
  <r>
    <x v="7"/>
    <x v="0"/>
    <x v="0"/>
  </r>
  <r>
    <x v="2"/>
    <x v="1"/>
    <x v="1"/>
  </r>
  <r>
    <x v="2"/>
    <x v="1"/>
    <x v="1"/>
  </r>
  <r>
    <x v="2"/>
    <x v="1"/>
    <x v="1"/>
  </r>
  <r>
    <x v="2"/>
    <x v="1"/>
    <x v="1"/>
  </r>
  <r>
    <x v="2"/>
    <x v="1"/>
    <x v="1"/>
  </r>
  <r>
    <x v="2"/>
    <x v="1"/>
    <x v="1"/>
  </r>
  <r>
    <x v="2"/>
    <x v="1"/>
    <x v="1"/>
  </r>
  <r>
    <x v="2"/>
    <x v="1"/>
    <x v="1"/>
  </r>
  <r>
    <x v="2"/>
    <x v="1"/>
    <x v="1"/>
  </r>
  <r>
    <x v="2"/>
    <x v="1"/>
    <x v="1"/>
  </r>
  <r>
    <x v="8"/>
    <x v="1"/>
    <x v="0"/>
  </r>
  <r>
    <x v="8"/>
    <x v="1"/>
    <x v="0"/>
  </r>
  <r>
    <x v="3"/>
    <x v="5"/>
    <x v="0"/>
  </r>
  <r>
    <x v="3"/>
    <x v="5"/>
    <x v="0"/>
  </r>
  <r>
    <x v="1"/>
    <x v="5"/>
    <x v="1"/>
  </r>
  <r>
    <x v="1"/>
    <x v="3"/>
    <x v="1"/>
  </r>
  <r>
    <x v="1"/>
    <x v="3"/>
    <x v="1"/>
  </r>
  <r>
    <x v="1"/>
    <x v="3"/>
    <x v="1"/>
  </r>
  <r>
    <x v="1"/>
    <x v="3"/>
    <x v="1"/>
  </r>
  <r>
    <x v="1"/>
    <x v="3"/>
    <x v="1"/>
  </r>
  <r>
    <x v="1"/>
    <x v="3"/>
    <x v="1"/>
  </r>
  <r>
    <x v="1"/>
    <x v="3"/>
    <x v="1"/>
  </r>
  <r>
    <x v="1"/>
    <x v="5"/>
    <x v="1"/>
  </r>
  <r>
    <x v="1"/>
    <x v="5"/>
    <x v="2"/>
  </r>
  <r>
    <x v="1"/>
    <x v="3"/>
    <x v="1"/>
  </r>
  <r>
    <x v="1"/>
    <x v="3"/>
    <x v="1"/>
  </r>
  <r>
    <x v="1"/>
    <x v="3"/>
    <x v="1"/>
  </r>
  <r>
    <x v="1"/>
    <x v="3"/>
    <x v="1"/>
  </r>
  <r>
    <x v="1"/>
    <x v="3"/>
    <x v="1"/>
  </r>
  <r>
    <x v="1"/>
    <x v="3"/>
    <x v="1"/>
  </r>
  <r>
    <x v="1"/>
    <x v="3"/>
    <x v="1"/>
  </r>
  <r>
    <x v="1"/>
    <x v="3"/>
    <x v="1"/>
  </r>
  <r>
    <x v="1"/>
    <x v="3"/>
    <x v="1"/>
  </r>
  <r>
    <x v="5"/>
    <x v="2"/>
    <x v="0"/>
  </r>
  <r>
    <x v="1"/>
    <x v="3"/>
    <x v="1"/>
  </r>
  <r>
    <x v="5"/>
    <x v="2"/>
    <x v="0"/>
  </r>
  <r>
    <x v="0"/>
    <x v="0"/>
    <x v="0"/>
  </r>
  <r>
    <x v="9"/>
    <x v="3"/>
    <x v="1"/>
  </r>
  <r>
    <x v="9"/>
    <x v="3"/>
    <x v="1"/>
  </r>
  <r>
    <x v="1"/>
    <x v="5"/>
    <x v="1"/>
  </r>
  <r>
    <x v="1"/>
    <x v="3"/>
    <x v="1"/>
  </r>
  <r>
    <x v="1"/>
    <x v="5"/>
    <x v="1"/>
  </r>
  <r>
    <x v="1"/>
    <x v="3"/>
    <x v="1"/>
  </r>
  <r>
    <x v="1"/>
    <x v="5"/>
    <x v="1"/>
  </r>
  <r>
    <x v="1"/>
    <x v="3"/>
    <x v="1"/>
  </r>
  <r>
    <x v="1"/>
    <x v="3"/>
    <x v="1"/>
  </r>
  <r>
    <x v="1"/>
    <x v="3"/>
    <x v="1"/>
  </r>
  <r>
    <x v="1"/>
    <x v="3"/>
    <x v="1"/>
  </r>
  <r>
    <x v="1"/>
    <x v="3"/>
    <x v="1"/>
  </r>
  <r>
    <x v="1"/>
    <x v="3"/>
    <x v="1"/>
  </r>
  <r>
    <x v="1"/>
    <x v="3"/>
    <x v="1"/>
  </r>
  <r>
    <x v="1"/>
    <x v="3"/>
    <x v="1"/>
  </r>
  <r>
    <x v="1"/>
    <x v="3"/>
    <x v="1"/>
  </r>
  <r>
    <x v="1"/>
    <x v="3"/>
    <x v="1"/>
  </r>
  <r>
    <x v="1"/>
    <x v="3"/>
    <x v="1"/>
  </r>
  <r>
    <x v="1"/>
    <x v="3"/>
    <x v="1"/>
  </r>
  <r>
    <x v="1"/>
    <x v="5"/>
    <x v="1"/>
  </r>
  <r>
    <x v="1"/>
    <x v="3"/>
    <x v="1"/>
  </r>
  <r>
    <x v="1"/>
    <x v="5"/>
    <x v="1"/>
  </r>
  <r>
    <x v="1"/>
    <x v="5"/>
    <x v="1"/>
  </r>
  <r>
    <x v="1"/>
    <x v="3"/>
    <x v="1"/>
  </r>
  <r>
    <x v="1"/>
    <x v="5"/>
    <x v="1"/>
  </r>
  <r>
    <x v="1"/>
    <x v="5"/>
    <x v="1"/>
  </r>
  <r>
    <x v="1"/>
    <x v="3"/>
    <x v="1"/>
  </r>
  <r>
    <x v="1"/>
    <x v="5"/>
    <x v="1"/>
  </r>
  <r>
    <x v="1"/>
    <x v="5"/>
    <x v="1"/>
  </r>
  <r>
    <x v="1"/>
    <x v="3"/>
    <x v="1"/>
  </r>
  <r>
    <x v="1"/>
    <x v="5"/>
    <x v="1"/>
  </r>
  <r>
    <x v="1"/>
    <x v="3"/>
    <x v="1"/>
  </r>
  <r>
    <x v="1"/>
    <x v="5"/>
    <x v="1"/>
  </r>
  <r>
    <x v="1"/>
    <x v="3"/>
    <x v="1"/>
  </r>
  <r>
    <x v="1"/>
    <x v="5"/>
    <x v="1"/>
  </r>
  <r>
    <x v="1"/>
    <x v="3"/>
    <x v="1"/>
  </r>
  <r>
    <x v="1"/>
    <x v="3"/>
    <x v="1"/>
  </r>
  <r>
    <x v="1"/>
    <x v="5"/>
    <x v="1"/>
  </r>
  <r>
    <x v="1"/>
    <x v="5"/>
    <x v="2"/>
  </r>
  <r>
    <x v="1"/>
    <x v="5"/>
    <x v="1"/>
  </r>
  <r>
    <x v="3"/>
    <x v="2"/>
    <x v="0"/>
  </r>
  <r>
    <x v="7"/>
    <x v="0"/>
    <x v="1"/>
  </r>
  <r>
    <x v="10"/>
    <x v="4"/>
    <x v="1"/>
  </r>
  <r>
    <x v="10"/>
    <x v="4"/>
    <x v="1"/>
  </r>
  <r>
    <x v="1"/>
    <x v="5"/>
    <x v="1"/>
  </r>
  <r>
    <x v="1"/>
    <x v="5"/>
    <x v="1"/>
  </r>
  <r>
    <x v="1"/>
    <x v="5"/>
    <x v="1"/>
  </r>
  <r>
    <x v="1"/>
    <x v="5"/>
    <x v="1"/>
  </r>
  <r>
    <x v="1"/>
    <x v="5"/>
    <x v="1"/>
  </r>
  <r>
    <x v="1"/>
    <x v="5"/>
    <x v="1"/>
  </r>
  <r>
    <x v="1"/>
    <x v="5"/>
    <x v="1"/>
  </r>
  <r>
    <x v="1"/>
    <x v="5"/>
    <x v="1"/>
  </r>
  <r>
    <x v="1"/>
    <x v="5"/>
    <x v="1"/>
  </r>
  <r>
    <x v="1"/>
    <x v="5"/>
    <x v="1"/>
  </r>
  <r>
    <x v="11"/>
    <x v="0"/>
    <x v="1"/>
  </r>
  <r>
    <x v="11"/>
    <x v="0"/>
    <x v="1"/>
  </r>
  <r>
    <x v="12"/>
    <x v="5"/>
    <x v="1"/>
  </r>
  <r>
    <x v="12"/>
    <x v="5"/>
    <x v="1"/>
  </r>
  <r>
    <x v="12"/>
    <x v="5"/>
    <x v="1"/>
  </r>
  <r>
    <x v="9"/>
    <x v="0"/>
    <x v="1"/>
  </r>
  <r>
    <x v="11"/>
    <x v="0"/>
    <x v="0"/>
  </r>
  <r>
    <x v="11"/>
    <x v="0"/>
    <x v="0"/>
  </r>
  <r>
    <x v="12"/>
    <x v="5"/>
    <x v="1"/>
  </r>
  <r>
    <x v="12"/>
    <x v="5"/>
    <x v="1"/>
  </r>
  <r>
    <x v="12"/>
    <x v="5"/>
    <x v="1"/>
  </r>
  <r>
    <x v="12"/>
    <x v="5"/>
    <x v="1"/>
  </r>
  <r>
    <x v="12"/>
    <x v="5"/>
    <x v="1"/>
  </r>
  <r>
    <x v="12"/>
    <x v="5"/>
    <x v="1"/>
  </r>
  <r>
    <x v="12"/>
    <x v="5"/>
    <x v="1"/>
  </r>
  <r>
    <x v="12"/>
    <x v="5"/>
    <x v="1"/>
  </r>
  <r>
    <x v="6"/>
    <x v="2"/>
    <x v="0"/>
  </r>
  <r>
    <x v="12"/>
    <x v="5"/>
    <x v="1"/>
  </r>
  <r>
    <x v="12"/>
    <x v="5"/>
    <x v="1"/>
  </r>
  <r>
    <x v="12"/>
    <x v="5"/>
    <x v="1"/>
  </r>
  <r>
    <x v="12"/>
    <x v="5"/>
    <x v="1"/>
  </r>
  <r>
    <x v="12"/>
    <x v="5"/>
    <x v="1"/>
  </r>
  <r>
    <x v="12"/>
    <x v="5"/>
    <x v="1"/>
  </r>
  <r>
    <x v="6"/>
    <x v="2"/>
    <x v="0"/>
  </r>
  <r>
    <x v="6"/>
    <x v="2"/>
    <x v="0"/>
  </r>
  <r>
    <x v="6"/>
    <x v="3"/>
    <x v="0"/>
  </r>
  <r>
    <x v="6"/>
    <x v="2"/>
    <x v="0"/>
  </r>
  <r>
    <x v="6"/>
    <x v="3"/>
    <x v="0"/>
  </r>
  <r>
    <x v="6"/>
    <x v="2"/>
    <x v="0"/>
  </r>
  <r>
    <x v="6"/>
    <x v="3"/>
    <x v="0"/>
  </r>
  <r>
    <x v="6"/>
    <x v="2"/>
    <x v="0"/>
  </r>
  <r>
    <x v="6"/>
    <x v="2"/>
    <x v="0"/>
  </r>
  <r>
    <x v="6"/>
    <x v="2"/>
    <x v="0"/>
  </r>
  <r>
    <x v="6"/>
    <x v="2"/>
    <x v="0"/>
  </r>
  <r>
    <x v="6"/>
    <x v="2"/>
    <x v="0"/>
  </r>
  <r>
    <x v="6"/>
    <x v="2"/>
    <x v="0"/>
  </r>
  <r>
    <x v="6"/>
    <x v="2"/>
    <x v="0"/>
  </r>
  <r>
    <x v="6"/>
    <x v="2"/>
    <x v="0"/>
  </r>
  <r>
    <x v="6"/>
    <x v="2"/>
    <x v="0"/>
  </r>
  <r>
    <x v="6"/>
    <x v="2"/>
    <x v="0"/>
  </r>
  <r>
    <x v="12"/>
    <x v="5"/>
    <x v="1"/>
  </r>
  <r>
    <x v="12"/>
    <x v="5"/>
    <x v="1"/>
  </r>
  <r>
    <x v="13"/>
    <x v="2"/>
    <x v="1"/>
  </r>
  <r>
    <x v="4"/>
    <x v="3"/>
    <x v="0"/>
  </r>
  <r>
    <x v="12"/>
    <x v="5"/>
    <x v="1"/>
  </r>
  <r>
    <x v="12"/>
    <x v="5"/>
    <x v="1"/>
  </r>
  <r>
    <x v="12"/>
    <x v="5"/>
    <x v="1"/>
  </r>
  <r>
    <x v="12"/>
    <x v="5"/>
    <x v="1"/>
  </r>
  <r>
    <x v="12"/>
    <x v="5"/>
    <x v="1"/>
  </r>
  <r>
    <x v="12"/>
    <x v="5"/>
    <x v="1"/>
  </r>
  <r>
    <x v="12"/>
    <x v="5"/>
    <x v="1"/>
  </r>
  <r>
    <x v="12"/>
    <x v="5"/>
    <x v="1"/>
  </r>
  <r>
    <x v="12"/>
    <x v="5"/>
    <x v="1"/>
  </r>
  <r>
    <x v="12"/>
    <x v="5"/>
    <x v="1"/>
  </r>
  <r>
    <x v="12"/>
    <x v="5"/>
    <x v="1"/>
  </r>
  <r>
    <x v="12"/>
    <x v="5"/>
    <x v="1"/>
  </r>
  <r>
    <x v="12"/>
    <x v="5"/>
    <x v="1"/>
  </r>
  <r>
    <x v="12"/>
    <x v="5"/>
    <x v="1"/>
  </r>
  <r>
    <x v="6"/>
    <x v="2"/>
    <x v="0"/>
  </r>
  <r>
    <x v="6"/>
    <x v="3"/>
    <x v="0"/>
  </r>
  <r>
    <x v="6"/>
    <x v="2"/>
    <x v="0"/>
  </r>
  <r>
    <x v="6"/>
    <x v="2"/>
    <x v="0"/>
  </r>
  <r>
    <x v="6"/>
    <x v="2"/>
    <x v="0"/>
  </r>
  <r>
    <x v="6"/>
    <x v="3"/>
    <x v="0"/>
  </r>
  <r>
    <x v="6"/>
    <x v="2"/>
    <x v="0"/>
  </r>
  <r>
    <x v="6"/>
    <x v="3"/>
    <x v="0"/>
  </r>
  <r>
    <x v="6"/>
    <x v="2"/>
    <x v="0"/>
  </r>
  <r>
    <x v="6"/>
    <x v="3"/>
    <x v="0"/>
  </r>
  <r>
    <x v="6"/>
    <x v="2"/>
    <x v="0"/>
  </r>
  <r>
    <x v="6"/>
    <x v="3"/>
    <x v="0"/>
  </r>
  <r>
    <x v="6"/>
    <x v="2"/>
    <x v="0"/>
  </r>
  <r>
    <x v="6"/>
    <x v="3"/>
    <x v="0"/>
  </r>
  <r>
    <x v="6"/>
    <x v="2"/>
    <x v="0"/>
  </r>
  <r>
    <x v="6"/>
    <x v="3"/>
    <x v="0"/>
  </r>
  <r>
    <x v="6"/>
    <x v="2"/>
    <x v="0"/>
  </r>
  <r>
    <x v="6"/>
    <x v="2"/>
    <x v="0"/>
  </r>
  <r>
    <x v="6"/>
    <x v="3"/>
    <x v="0"/>
  </r>
  <r>
    <x v="6"/>
    <x v="2"/>
    <x v="0"/>
  </r>
  <r>
    <x v="6"/>
    <x v="2"/>
    <x v="0"/>
  </r>
  <r>
    <x v="6"/>
    <x v="3"/>
    <x v="0"/>
  </r>
  <r>
    <x v="6"/>
    <x v="2"/>
    <x v="0"/>
  </r>
  <r>
    <x v="6"/>
    <x v="2"/>
    <x v="0"/>
  </r>
  <r>
    <x v="6"/>
    <x v="3"/>
    <x v="0"/>
  </r>
  <r>
    <x v="6"/>
    <x v="2"/>
    <x v="0"/>
  </r>
  <r>
    <x v="6"/>
    <x v="3"/>
    <x v="0"/>
  </r>
  <r>
    <x v="6"/>
    <x v="2"/>
    <x v="0"/>
  </r>
  <r>
    <x v="6"/>
    <x v="2"/>
    <x v="0"/>
  </r>
  <r>
    <x v="6"/>
    <x v="2"/>
    <x v="0"/>
  </r>
  <r>
    <x v="6"/>
    <x v="2"/>
    <x v="0"/>
  </r>
  <r>
    <x v="2"/>
    <x v="0"/>
    <x v="0"/>
  </r>
  <r>
    <x v="2"/>
    <x v="0"/>
    <x v="0"/>
  </r>
  <r>
    <x v="6"/>
    <x v="3"/>
    <x v="0"/>
  </r>
  <r>
    <x v="6"/>
    <x v="3"/>
    <x v="0"/>
  </r>
  <r>
    <x v="6"/>
    <x v="3"/>
    <x v="0"/>
  </r>
  <r>
    <x v="6"/>
    <x v="3"/>
    <x v="0"/>
  </r>
  <r>
    <x v="6"/>
    <x v="3"/>
    <x v="0"/>
  </r>
  <r>
    <x v="6"/>
    <x v="3"/>
    <x v="0"/>
  </r>
  <r>
    <x v="6"/>
    <x v="3"/>
    <x v="0"/>
  </r>
  <r>
    <x v="6"/>
    <x v="3"/>
    <x v="0"/>
  </r>
  <r>
    <x v="6"/>
    <x v="3"/>
    <x v="0"/>
  </r>
  <r>
    <x v="6"/>
    <x v="3"/>
    <x v="0"/>
  </r>
  <r>
    <x v="6"/>
    <x v="3"/>
    <x v="0"/>
  </r>
  <r>
    <x v="11"/>
    <x v="5"/>
    <x v="0"/>
  </r>
  <r>
    <x v="14"/>
    <x v="5"/>
    <x v="2"/>
  </r>
  <r>
    <x v="12"/>
    <x v="1"/>
    <x v="0"/>
  </r>
  <r>
    <x v="14"/>
    <x v="5"/>
    <x v="2"/>
  </r>
  <r>
    <x v="12"/>
    <x v="1"/>
    <x v="0"/>
  </r>
  <r>
    <x v="12"/>
    <x v="1"/>
    <x v="0"/>
  </r>
  <r>
    <x v="12"/>
    <x v="1"/>
    <x v="0"/>
  </r>
  <r>
    <x v="12"/>
    <x v="1"/>
    <x v="0"/>
  </r>
  <r>
    <x v="12"/>
    <x v="1"/>
    <x v="0"/>
  </r>
  <r>
    <x v="12"/>
    <x v="1"/>
    <x v="0"/>
  </r>
  <r>
    <x v="12"/>
    <x v="1"/>
    <x v="0"/>
  </r>
  <r>
    <x v="12"/>
    <x v="1"/>
    <x v="0"/>
  </r>
  <r>
    <x v="12"/>
    <x v="1"/>
    <x v="0"/>
  </r>
  <r>
    <x v="15"/>
    <x v="4"/>
    <x v="2"/>
  </r>
  <r>
    <x v="15"/>
    <x v="4"/>
    <x v="2"/>
  </r>
  <r>
    <x v="12"/>
    <x v="1"/>
    <x v="0"/>
  </r>
  <r>
    <x v="2"/>
    <x v="4"/>
    <x v="1"/>
  </r>
  <r>
    <x v="12"/>
    <x v="1"/>
    <x v="0"/>
  </r>
  <r>
    <x v="12"/>
    <x v="1"/>
    <x v="0"/>
  </r>
  <r>
    <x v="12"/>
    <x v="1"/>
    <x v="0"/>
  </r>
  <r>
    <x v="12"/>
    <x v="1"/>
    <x v="0"/>
  </r>
  <r>
    <x v="12"/>
    <x v="1"/>
    <x v="0"/>
  </r>
  <r>
    <x v="12"/>
    <x v="1"/>
    <x v="0"/>
  </r>
  <r>
    <x v="12"/>
    <x v="1"/>
    <x v="0"/>
  </r>
  <r>
    <x v="12"/>
    <x v="1"/>
    <x v="0"/>
  </r>
  <r>
    <x v="12"/>
    <x v="1"/>
    <x v="0"/>
  </r>
  <r>
    <x v="12"/>
    <x v="1"/>
    <x v="0"/>
  </r>
  <r>
    <x v="12"/>
    <x v="1"/>
    <x v="0"/>
  </r>
  <r>
    <x v="12"/>
    <x v="1"/>
    <x v="0"/>
  </r>
  <r>
    <x v="12"/>
    <x v="1"/>
    <x v="0"/>
  </r>
  <r>
    <x v="12"/>
    <x v="1"/>
    <x v="0"/>
  </r>
  <r>
    <x v="12"/>
    <x v="1"/>
    <x v="0"/>
  </r>
  <r>
    <x v="12"/>
    <x v="1"/>
    <x v="0"/>
  </r>
  <r>
    <x v="12"/>
    <x v="1"/>
    <x v="0"/>
  </r>
  <r>
    <x v="12"/>
    <x v="1"/>
    <x v="0"/>
  </r>
  <r>
    <x v="2"/>
    <x v="4"/>
    <x v="1"/>
  </r>
  <r>
    <x v="2"/>
    <x v="4"/>
    <x v="1"/>
  </r>
  <r>
    <x v="2"/>
    <x v="4"/>
    <x v="1"/>
  </r>
  <r>
    <x v="2"/>
    <x v="4"/>
    <x v="1"/>
  </r>
  <r>
    <x v="11"/>
    <x v="0"/>
    <x v="1"/>
  </r>
  <r>
    <x v="12"/>
    <x v="1"/>
    <x v="0"/>
  </r>
  <r>
    <x v="12"/>
    <x v="1"/>
    <x v="0"/>
  </r>
  <r>
    <x v="12"/>
    <x v="1"/>
    <x v="0"/>
  </r>
  <r>
    <x v="6"/>
    <x v="2"/>
    <x v="0"/>
  </r>
  <r>
    <x v="6"/>
    <x v="2"/>
    <x v="0"/>
  </r>
  <r>
    <x v="6"/>
    <x v="2"/>
    <x v="0"/>
  </r>
  <r>
    <x v="6"/>
    <x v="2"/>
    <x v="0"/>
  </r>
  <r>
    <x v="6"/>
    <x v="2"/>
    <x v="0"/>
  </r>
  <r>
    <x v="6"/>
    <x v="2"/>
    <x v="0"/>
  </r>
  <r>
    <x v="2"/>
    <x v="4"/>
    <x v="1"/>
  </r>
  <r>
    <x v="2"/>
    <x v="4"/>
    <x v="1"/>
  </r>
  <r>
    <x v="2"/>
    <x v="4"/>
    <x v="1"/>
  </r>
  <r>
    <x v="2"/>
    <x v="4"/>
    <x v="1"/>
  </r>
  <r>
    <x v="2"/>
    <x v="4"/>
    <x v="1"/>
  </r>
  <r>
    <x v="2"/>
    <x v="4"/>
    <x v="1"/>
  </r>
  <r>
    <x v="2"/>
    <x v="4"/>
    <x v="1"/>
  </r>
  <r>
    <x v="2"/>
    <x v="4"/>
    <x v="1"/>
  </r>
  <r>
    <x v="2"/>
    <x v="4"/>
    <x v="1"/>
  </r>
  <r>
    <x v="2"/>
    <x v="4"/>
    <x v="1"/>
  </r>
  <r>
    <x v="2"/>
    <x v="4"/>
    <x v="1"/>
  </r>
  <r>
    <x v="2"/>
    <x v="4"/>
    <x v="1"/>
  </r>
  <r>
    <x v="2"/>
    <x v="4"/>
    <x v="1"/>
  </r>
  <r>
    <x v="2"/>
    <x v="4"/>
    <x v="1"/>
  </r>
  <r>
    <x v="2"/>
    <x v="4"/>
    <x v="1"/>
  </r>
  <r>
    <x v="2"/>
    <x v="4"/>
    <x v="1"/>
  </r>
  <r>
    <x v="2"/>
    <x v="4"/>
    <x v="1"/>
  </r>
  <r>
    <x v="2"/>
    <x v="4"/>
    <x v="1"/>
  </r>
  <r>
    <x v="2"/>
    <x v="4"/>
    <x v="1"/>
  </r>
  <r>
    <x v="2"/>
    <x v="4"/>
    <x v="1"/>
  </r>
  <r>
    <x v="2"/>
    <x v="4"/>
    <x v="1"/>
  </r>
  <r>
    <x v="2"/>
    <x v="4"/>
    <x v="1"/>
  </r>
  <r>
    <x v="2"/>
    <x v="4"/>
    <x v="1"/>
  </r>
  <r>
    <x v="2"/>
    <x v="4"/>
    <x v="1"/>
  </r>
  <r>
    <x v="2"/>
    <x v="4"/>
    <x v="1"/>
  </r>
  <r>
    <x v="2"/>
    <x v="4"/>
    <x v="1"/>
  </r>
  <r>
    <x v="2"/>
    <x v="4"/>
    <x v="1"/>
  </r>
  <r>
    <x v="4"/>
    <x v="3"/>
    <x v="0"/>
  </r>
  <r>
    <x v="4"/>
    <x v="3"/>
    <x v="0"/>
  </r>
  <r>
    <x v="12"/>
    <x v="4"/>
    <x v="1"/>
  </r>
  <r>
    <x v="12"/>
    <x v="4"/>
    <x v="1"/>
  </r>
  <r>
    <x v="4"/>
    <x v="4"/>
    <x v="0"/>
  </r>
  <r>
    <x v="4"/>
    <x v="4"/>
    <x v="0"/>
  </r>
  <r>
    <x v="4"/>
    <x v="4"/>
    <x v="0"/>
  </r>
  <r>
    <x v="4"/>
    <x v="4"/>
    <x v="0"/>
  </r>
  <r>
    <x v="4"/>
    <x v="4"/>
    <x v="0"/>
  </r>
  <r>
    <x v="4"/>
    <x v="4"/>
    <x v="0"/>
  </r>
  <r>
    <x v="4"/>
    <x v="4"/>
    <x v="0"/>
  </r>
  <r>
    <x v="4"/>
    <x v="4"/>
    <x v="0"/>
  </r>
  <r>
    <x v="4"/>
    <x v="4"/>
    <x v="0"/>
  </r>
  <r>
    <x v="4"/>
    <x v="4"/>
    <x v="0"/>
  </r>
  <r>
    <x v="4"/>
    <x v="4"/>
    <x v="0"/>
  </r>
  <r>
    <x v="4"/>
    <x v="4"/>
    <x v="0"/>
  </r>
  <r>
    <x v="4"/>
    <x v="4"/>
    <x v="0"/>
  </r>
  <r>
    <x v="4"/>
    <x v="4"/>
    <x v="0"/>
  </r>
  <r>
    <x v="4"/>
    <x v="4"/>
    <x v="0"/>
  </r>
  <r>
    <x v="4"/>
    <x v="4"/>
    <x v="0"/>
  </r>
  <r>
    <x v="4"/>
    <x v="4"/>
    <x v="0"/>
  </r>
  <r>
    <x v="4"/>
    <x v="4"/>
    <x v="0"/>
  </r>
  <r>
    <x v="4"/>
    <x v="4"/>
    <x v="0"/>
  </r>
  <r>
    <x v="4"/>
    <x v="4"/>
    <x v="0"/>
  </r>
  <r>
    <x v="4"/>
    <x v="4"/>
    <x v="0"/>
  </r>
  <r>
    <x v="4"/>
    <x v="4"/>
    <x v="0"/>
  </r>
  <r>
    <x v="4"/>
    <x v="4"/>
    <x v="0"/>
  </r>
  <r>
    <x v="4"/>
    <x v="4"/>
    <x v="0"/>
  </r>
  <r>
    <x v="4"/>
    <x v="4"/>
    <x v="0"/>
  </r>
  <r>
    <x v="4"/>
    <x v="4"/>
    <x v="0"/>
  </r>
  <r>
    <x v="4"/>
    <x v="4"/>
    <x v="0"/>
  </r>
  <r>
    <x v="4"/>
    <x v="4"/>
    <x v="0"/>
  </r>
  <r>
    <x v="4"/>
    <x v="4"/>
    <x v="0"/>
  </r>
  <r>
    <x v="4"/>
    <x v="4"/>
    <x v="0"/>
  </r>
  <r>
    <x v="4"/>
    <x v="4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CB5398-56F7-4DFB-8CF1-B9660FC3CC6B}" name="樞紐分析表1" cacheId="6716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compact="0" compactData="0" multipleFieldFilters="0" chartFormat="5">
  <location ref="A3:H8" firstHeaderRow="1" firstDataRow="2" firstDataCol="1"/>
  <pivotFields count="16">
    <pivotField compact="0" outline="0" showAll="0"/>
    <pivotField compact="0" outline="0" showAll="0"/>
    <pivotField compact="0" outline="0" showAll="0"/>
    <pivotField compact="0" outline="0" showAll="0">
      <items count="5">
        <item x="1"/>
        <item x="2"/>
        <item x="0"/>
        <item h="1" x="3"/>
        <item t="default"/>
      </items>
    </pivotField>
    <pivotField compact="0" outline="0" showAll="0"/>
    <pivotField compact="0" outline="0" showAll="0">
      <items count="35">
        <item x="13"/>
        <item x="2"/>
        <item x="5"/>
        <item x="0"/>
        <item x="1"/>
        <item x="3"/>
        <item x="10"/>
        <item x="6"/>
        <item x="18"/>
        <item x="14"/>
        <item x="21"/>
        <item x="19"/>
        <item x="17"/>
        <item x="28"/>
        <item x="12"/>
        <item x="33"/>
        <item x="15"/>
        <item x="16"/>
        <item x="11"/>
        <item x="7"/>
        <item x="8"/>
        <item x="4"/>
        <item x="9"/>
        <item x="20"/>
        <item x="22"/>
        <item x="26"/>
        <item x="23"/>
        <item x="25"/>
        <item x="24"/>
        <item x="31"/>
        <item x="27"/>
        <item x="32"/>
        <item x="30"/>
        <item x="29"/>
        <item t="default"/>
      </items>
    </pivotField>
    <pivotField compact="0" outline="0" showAll="0">
      <items count="14">
        <item x="1"/>
        <item x="3"/>
        <item x="0"/>
        <item x="2"/>
        <item h="1" x="12"/>
        <item h="1" x="7"/>
        <item x="4"/>
        <item x="5"/>
        <item h="1" x="10"/>
        <item h="1" x="6"/>
        <item h="1" x="11"/>
        <item h="1" x="9"/>
        <item h="1" x="8"/>
        <item t="default"/>
      </items>
    </pivotField>
    <pivotField compact="0" outline="0" showAll="0"/>
    <pivotField axis="axisCol" dataField="1" compact="0" outline="0" showAll="0">
      <items count="14">
        <item x="4"/>
        <item x="3"/>
        <item x="5"/>
        <item h="1" x="7"/>
        <item x="0"/>
        <item x="2"/>
        <item x="1"/>
        <item h="1" x="12"/>
        <item h="1" x="6"/>
        <item h="1" x="10"/>
        <item h="1" sd="0" x="11"/>
        <item h="1" x="9"/>
        <item h="1" x="8"/>
        <item t="default"/>
      </items>
    </pivotField>
    <pivotField axis="axisRow" compact="0" outline="0" showAll="0">
      <items count="9">
        <item x="7"/>
        <item x="5"/>
        <item x="6"/>
        <item x="1"/>
        <item x="2"/>
        <item x="0"/>
        <item x="4"/>
        <item x="3"/>
        <item t="default"/>
      </items>
    </pivotField>
    <pivotField compact="0" outline="0" showAll="0">
      <items count="31">
        <item x="29"/>
        <item x="27"/>
        <item x="11"/>
        <item x="15"/>
        <item x="6"/>
        <item x="24"/>
        <item x="7"/>
        <item x="16"/>
        <item x="3"/>
        <item x="17"/>
        <item x="20"/>
        <item x="1"/>
        <item x="18"/>
        <item x="0"/>
        <item x="10"/>
        <item x="8"/>
        <item x="13"/>
        <item x="14"/>
        <item x="5"/>
        <item x="9"/>
        <item x="4"/>
        <item x="12"/>
        <item x="19"/>
        <item x="23"/>
        <item x="2"/>
        <item x="22"/>
        <item x="21"/>
        <item x="28"/>
        <item x="26"/>
        <item x="2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9"/>
  </rowFields>
  <rowItems count="4">
    <i>
      <x v="3"/>
    </i>
    <i>
      <x v="4"/>
    </i>
    <i>
      <x v="5"/>
    </i>
    <i t="grand">
      <x/>
    </i>
  </rowItems>
  <colFields count="1">
    <field x="8"/>
  </colFields>
  <colItems count="7">
    <i>
      <x/>
    </i>
    <i>
      <x v="1"/>
    </i>
    <i>
      <x v="2"/>
    </i>
    <i>
      <x v="4"/>
    </i>
    <i>
      <x v="5"/>
    </i>
    <i>
      <x v="6"/>
    </i>
    <i t="grand">
      <x/>
    </i>
  </colItems>
  <dataFields count="1">
    <dataField name="平均值 - Stress Level" fld="8" subtotal="average" baseField="0" baseItem="0"/>
  </dataFields>
  <chartFormats count="7">
    <chartFormat chart="0" format="23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3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0" format="24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0" format="24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0" format="24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0" format="24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6"/>
          </reference>
        </references>
      </pivotArea>
    </chartFormat>
    <chartFormat chart="0" format="24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B19087-1623-4EF5-8369-447E06DDD7F5}" name="樞紐分析表2" cacheId="6717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compact="0" compactData="0" multipleFieldFilters="0" chartFormat="5">
  <location ref="A3:C7" firstHeaderRow="0" firstDataRow="1" firstDataCol="1"/>
  <pivotFields count="3">
    <pivotField dataField="1" compact="0" outline="0" showAll="0">
      <items count="17">
        <item x="2"/>
        <item x="8"/>
        <item x="5"/>
        <item x="3"/>
        <item x="0"/>
        <item x="6"/>
        <item x="13"/>
        <item x="7"/>
        <item x="11"/>
        <item x="1"/>
        <item x="14"/>
        <item x="9"/>
        <item x="4"/>
        <item x="10"/>
        <item x="15"/>
        <item x="12"/>
        <item t="default"/>
      </items>
    </pivotField>
    <pivotField dataField="1" compact="0" outline="0" showAll="0">
      <items count="7">
        <item x="4"/>
        <item x="3"/>
        <item x="5"/>
        <item x="0"/>
        <item x="2"/>
        <item x="1"/>
        <item t="default"/>
      </items>
    </pivotField>
    <pivotField axis="axisRow" compact="0" outline="0" showAll="0">
      <items count="4">
        <item x="1"/>
        <item x="2"/>
        <item x="0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平均值 - Physical Activity Level" fld="0" subtotal="average" baseField="0" baseItem="0"/>
    <dataField name="平均值 - Stress Level" fld="1" subtotal="average" baseField="0" baseItem="0"/>
  </dataFields>
  <chartFormats count="10">
    <chartFormat chart="0" format="9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9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9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9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9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9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9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9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10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0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ACD913-9642-413A-B64C-EB41F3ED4853}" name="樞紐分析表1" cacheId="6715" applyNumberFormats="0" applyBorderFormats="0" applyFontFormats="0" applyPatternFormats="0" applyAlignmentFormats="0" applyWidthHeightFormats="1" dataCaption="值" grandTotalCaption="Summary" updatedVersion="8" minRefreshableVersion="3" useAutoFormatting="1" itemPrintTitles="1" createdVersion="8" indent="0" compact="0" compactData="0" multipleFieldFilters="0" chartFormat="7">
  <location ref="A3:D11" firstHeaderRow="1" firstDataRow="2" firstDataCol="1"/>
  <pivotFields count="13">
    <pivotField compact="0" outline="0" showAll="0"/>
    <pivotField axis="axisCol" compact="0" outline="0" multipleItemSelectionAllowed="1" showAll="0">
      <items count="4">
        <item x="1"/>
        <item x="0"/>
        <item h="1" x="2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>
      <items count="8">
        <item x="1"/>
        <item x="3"/>
        <item x="0"/>
        <item x="2"/>
        <item x="4"/>
        <item x="5"/>
        <item x="6"/>
        <item t="default"/>
      </items>
    </pivotField>
    <pivotField compact="0" outline="0" showAll="0"/>
    <pivotField axis="axisRow" compact="0" outline="0" showAll="0">
      <items count="8">
        <item x="4"/>
        <item x="3"/>
        <item x="5"/>
        <item x="0"/>
        <item x="2"/>
        <item x="1"/>
        <item h="1" x="6"/>
        <item t="default"/>
      </items>
    </pivotField>
    <pivotField compact="0" outline="0" showAll="0">
      <items count="6">
        <item x="1"/>
        <item m="1" x="4"/>
        <item x="2"/>
        <item x="0"/>
        <item h="1"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</pivotFields>
  <rowFields count="1">
    <field x="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平均值 - Quality of Sleep" fld="5" subtotal="average" baseField="0" baseItem="0"/>
  </dataFields>
  <chartFormats count="11">
    <chartFormat chart="0" format="4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4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5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5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5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" format="5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" format="5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5" format="5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5" format="5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6" format="5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6" format="5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6684C4-7A9B-4A7A-A40E-F0CC507AE9DF}" name="樞紐分析表2" cacheId="6716" applyNumberFormats="0" applyBorderFormats="0" applyFontFormats="0" applyPatternFormats="0" applyAlignmentFormats="0" applyWidthHeightFormats="1" dataCaption="值" grandTotalCaption="summary" updatedVersion="8" minRefreshableVersion="3" useAutoFormatting="1" itemPrintTitles="1" createdVersion="8" indent="0" compact="0" compactData="0" multipleFieldFilters="0" chartFormat="5">
  <location ref="A4:J13" firstHeaderRow="1" firstDataRow="3" firstDataCol="1"/>
  <pivotFields count="16">
    <pivotField compact="0" outline="0" showAll="0">
      <items count="37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t="default"/>
      </items>
    </pivotField>
    <pivotField axis="axisCol" compact="0" outline="0" showAll="0">
      <items count="6">
        <item x="4"/>
        <item x="1"/>
        <item x="0"/>
        <item x="3"/>
        <item x="2"/>
        <item t="default"/>
      </items>
    </pivotField>
    <pivotField compact="0" outline="0" showAll="0"/>
    <pivotField axis="axisCol" compact="0" outline="0" multipleItemSelectionAllowed="1" showAll="0">
      <items count="5">
        <item x="1"/>
        <item x="2"/>
        <item x="0"/>
        <item h="1" x="3"/>
        <item t="default"/>
      </items>
    </pivotField>
    <pivotField compact="0" outline="0" showAll="0"/>
    <pivotField compact="0" outline="0" showAll="0">
      <items count="35">
        <item x="13"/>
        <item x="2"/>
        <item x="5"/>
        <item x="0"/>
        <item x="1"/>
        <item x="3"/>
        <item x="10"/>
        <item x="6"/>
        <item x="18"/>
        <item x="14"/>
        <item x="21"/>
        <item x="19"/>
        <item x="17"/>
        <item x="28"/>
        <item x="12"/>
        <item x="33"/>
        <item x="15"/>
        <item x="16"/>
        <item x="11"/>
        <item x="7"/>
        <item x="8"/>
        <item x="4"/>
        <item x="9"/>
        <item x="20"/>
        <item x="22"/>
        <item x="26"/>
        <item x="23"/>
        <item x="25"/>
        <item x="24"/>
        <item x="31"/>
        <item x="27"/>
        <item x="32"/>
        <item x="30"/>
        <item x="29"/>
        <item t="default"/>
      </items>
    </pivotField>
    <pivotField axis="axisRow" compact="0" outline="0" showAll="0">
      <items count="14">
        <item x="1"/>
        <item x="3"/>
        <item x="0"/>
        <item x="2"/>
        <item h="1" x="12"/>
        <item h="1" x="7"/>
        <item x="4"/>
        <item x="5"/>
        <item h="1" x="10"/>
        <item h="1" x="6"/>
        <item h="1" x="11"/>
        <item h="1" x="9"/>
        <item x="8"/>
        <item t="default"/>
      </items>
    </pivotField>
    <pivotField dataField="1" compact="0" outline="0" showAll="0">
      <items count="24">
        <item x="2"/>
        <item x="8"/>
        <item x="5"/>
        <item x="3"/>
        <item x="0"/>
        <item x="6"/>
        <item x="13"/>
        <item x="7"/>
        <item x="11"/>
        <item x="22"/>
        <item x="17"/>
        <item x="1"/>
        <item x="14"/>
        <item x="9"/>
        <item x="4"/>
        <item x="10"/>
        <item x="15"/>
        <item x="12"/>
        <item x="20"/>
        <item x="16"/>
        <item x="21"/>
        <item x="19"/>
        <item x="18"/>
        <item t="default"/>
      </items>
    </pivotField>
    <pivotField compact="0" outline="0" showAll="0">
      <items count="14">
        <item x="4"/>
        <item x="3"/>
        <item x="5"/>
        <item x="7"/>
        <item x="0"/>
        <item x="2"/>
        <item x="1"/>
        <item x="12"/>
        <item x="6"/>
        <item x="10"/>
        <item x="11"/>
        <item x="9"/>
        <item x="8"/>
        <item t="default"/>
      </items>
    </pivotField>
    <pivotField compact="0" outline="0" multipleItemSelectionAllowed="1" showAll="0">
      <items count="9">
        <item h="1" x="7"/>
        <item h="1" x="5"/>
        <item h="1" x="6"/>
        <item x="1"/>
        <item x="2"/>
        <item x="0"/>
        <item h="1" x="4"/>
        <item h="1" x="3"/>
        <item t="default"/>
      </items>
    </pivotField>
    <pivotField compact="0" outline="0" showAll="0">
      <items count="31">
        <item x="29"/>
        <item x="27"/>
        <item x="11"/>
        <item x="15"/>
        <item x="6"/>
        <item x="24"/>
        <item x="7"/>
        <item x="16"/>
        <item x="3"/>
        <item x="17"/>
        <item x="20"/>
        <item x="1"/>
        <item x="18"/>
        <item x="0"/>
        <item x="10"/>
        <item x="8"/>
        <item x="13"/>
        <item x="14"/>
        <item x="5"/>
        <item x="9"/>
        <item x="4"/>
        <item x="12"/>
        <item x="19"/>
        <item x="23"/>
        <item x="2"/>
        <item x="22"/>
        <item x="21"/>
        <item x="28"/>
        <item x="26"/>
        <item x="25"/>
        <item t="default"/>
      </items>
    </pivotField>
    <pivotField compact="0" outline="0" showAll="0">
      <items count="26">
        <item x="10"/>
        <item x="6"/>
        <item x="7"/>
        <item x="13"/>
        <item x="3"/>
        <item x="14"/>
        <item x="15"/>
        <item x="1"/>
        <item x="0"/>
        <item x="8"/>
        <item x="19"/>
        <item x="12"/>
        <item x="5"/>
        <item x="24"/>
        <item x="9"/>
        <item x="4"/>
        <item x="11"/>
        <item x="17"/>
        <item x="2"/>
        <item x="16"/>
        <item x="22"/>
        <item x="18"/>
        <item x="23"/>
        <item x="21"/>
        <item x="20"/>
        <item t="default"/>
      </items>
    </pivotField>
    <pivotField compact="0" outline="0" showAll="0">
      <items count="25">
        <item x="8"/>
        <item x="5"/>
        <item x="11"/>
        <item x="10"/>
        <item x="12"/>
        <item x="1"/>
        <item x="13"/>
        <item x="0"/>
        <item x="7"/>
        <item x="18"/>
        <item x="6"/>
        <item x="4"/>
        <item x="3"/>
        <item x="9"/>
        <item x="2"/>
        <item x="16"/>
        <item x="14"/>
        <item x="15"/>
        <item x="23"/>
        <item h="1" x="21"/>
        <item h="1" x="17"/>
        <item h="1" x="22"/>
        <item h="1" x="20"/>
        <item h="1" x="19"/>
        <item t="default"/>
      </items>
    </pivotField>
    <pivotField compact="0" outline="0" showAll="0"/>
    <pivotField compact="0" outline="0" showAll="0">
      <items count="28">
        <item x="26"/>
        <item x="2"/>
        <item x="13"/>
        <item x="3"/>
        <item x="19"/>
        <item x="5"/>
        <item x="6"/>
        <item x="0"/>
        <item x="14"/>
        <item x="8"/>
        <item x="11"/>
        <item x="10"/>
        <item x="12"/>
        <item x="18"/>
        <item x="17"/>
        <item x="7"/>
        <item x="21"/>
        <item x="9"/>
        <item x="16"/>
        <item x="15"/>
        <item x="4"/>
        <item x="1"/>
        <item x="24"/>
        <item x="20"/>
        <item x="25"/>
        <item x="23"/>
        <item x="22"/>
        <item t="default"/>
      </items>
    </pivotField>
    <pivotField compact="0" outline="0" showAll="0"/>
  </pivotFields>
  <rowFields count="1">
    <field x="6"/>
  </rowFields>
  <rowItems count="7">
    <i>
      <x/>
    </i>
    <i>
      <x v="1"/>
    </i>
    <i>
      <x v="2"/>
    </i>
    <i>
      <x v="3"/>
    </i>
    <i>
      <x v="6"/>
    </i>
    <i>
      <x v="7"/>
    </i>
    <i t="grand">
      <x/>
    </i>
  </rowItems>
  <colFields count="2">
    <field x="3"/>
    <field x="1"/>
  </colFields>
  <colItems count="9">
    <i>
      <x/>
      <x v="1"/>
    </i>
    <i r="1">
      <x v="2"/>
    </i>
    <i t="default">
      <x/>
    </i>
    <i>
      <x v="1"/>
      <x v="1"/>
    </i>
    <i t="default">
      <x v="1"/>
    </i>
    <i>
      <x v="2"/>
      <x v="1"/>
    </i>
    <i r="1">
      <x v="2"/>
    </i>
    <i t="default">
      <x v="2"/>
    </i>
    <i t="grand">
      <x/>
    </i>
  </colItems>
  <dataFields count="1">
    <dataField name="平均值 - Physical Activity Level" fld="7" subtotal="average" baseField="0" baseItem="0"/>
  </dataFields>
  <chartFormats count="29">
    <chartFormat chart="0" format="710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711" series="1">
      <pivotArea type="data" outline="0" fieldPosition="0">
        <references count="1">
          <reference field="1" count="1" selected="0">
            <x v="2"/>
          </reference>
        </references>
      </pivotArea>
    </chartFormat>
    <chartFormat chart="0" format="73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73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740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3" count="1" selected="0">
            <x v="1"/>
          </reference>
        </references>
      </pivotArea>
    </chartFormat>
    <chartFormat chart="0" format="741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3" count="1" selected="0">
            <x v="2"/>
          </reference>
        </references>
      </pivotArea>
    </chartFormat>
    <chartFormat chart="0" format="742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3" count="1" selected="0">
            <x v="2"/>
          </reference>
        </references>
      </pivotArea>
    </chartFormat>
    <chartFormat chart="0" format="743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3" count="1" selected="0">
            <x v="0"/>
          </reference>
        </references>
      </pivotArea>
    </chartFormat>
    <chartFormat chart="0" format="744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3" count="1" selected="0">
            <x v="0"/>
          </reference>
        </references>
      </pivotArea>
    </chartFormat>
    <chartFormat chart="1" format="745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3" count="1" selected="0">
            <x v="0"/>
          </reference>
        </references>
      </pivotArea>
    </chartFormat>
    <chartFormat chart="1" format="746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3" count="1" selected="0">
            <x v="0"/>
          </reference>
        </references>
      </pivotArea>
    </chartFormat>
    <chartFormat chart="1" format="747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3" count="1" selected="0">
            <x v="1"/>
          </reference>
        </references>
      </pivotArea>
    </chartFormat>
    <chartFormat chart="1" format="748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3" count="1" selected="0">
            <x v="2"/>
          </reference>
        </references>
      </pivotArea>
    </chartFormat>
    <chartFormat chart="1" format="749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3" count="1" selected="0">
            <x v="2"/>
          </reference>
        </references>
      </pivotArea>
    </chartFormat>
    <chartFormat chart="2" format="750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3" count="1" selected="0">
            <x v="0"/>
          </reference>
        </references>
      </pivotArea>
    </chartFormat>
    <chartFormat chart="2" format="751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3" count="1" selected="0">
            <x v="0"/>
          </reference>
        </references>
      </pivotArea>
    </chartFormat>
    <chartFormat chart="2" format="752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3" count="1" selected="0">
            <x v="1"/>
          </reference>
        </references>
      </pivotArea>
    </chartFormat>
    <chartFormat chart="2" format="753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3" count="1" selected="0">
            <x v="2"/>
          </reference>
        </references>
      </pivotArea>
    </chartFormat>
    <chartFormat chart="2" format="754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3" count="1" selected="0">
            <x v="2"/>
          </reference>
        </references>
      </pivotArea>
    </chartFormat>
    <chartFormat chart="3" format="755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3" count="1" selected="0">
            <x v="0"/>
          </reference>
        </references>
      </pivotArea>
    </chartFormat>
    <chartFormat chart="3" format="756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3" count="1" selected="0">
            <x v="0"/>
          </reference>
        </references>
      </pivotArea>
    </chartFormat>
    <chartFormat chart="3" format="757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3" count="1" selected="0">
            <x v="1"/>
          </reference>
        </references>
      </pivotArea>
    </chartFormat>
    <chartFormat chart="3" format="758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3" count="1" selected="0">
            <x v="2"/>
          </reference>
        </references>
      </pivotArea>
    </chartFormat>
    <chartFormat chart="3" format="759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3" count="1" selected="0">
            <x v="2"/>
          </reference>
        </references>
      </pivotArea>
    </chartFormat>
    <chartFormat chart="4" format="760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3" count="1" selected="0">
            <x v="0"/>
          </reference>
        </references>
      </pivotArea>
    </chartFormat>
    <chartFormat chart="4" format="761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3" count="1" selected="0">
            <x v="0"/>
          </reference>
        </references>
      </pivotArea>
    </chartFormat>
    <chartFormat chart="4" format="762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3" count="1" selected="0">
            <x v="1"/>
          </reference>
        </references>
      </pivotArea>
    </chartFormat>
    <chartFormat chart="4" format="763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3" count="1" selected="0">
            <x v="2"/>
          </reference>
        </references>
      </pivotArea>
    </chartFormat>
    <chartFormat chart="4" format="764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0CFBB-9919-497E-9818-87A50E44AE4E}">
  <dimension ref="A1:M375"/>
  <sheetViews>
    <sheetView topLeftCell="D7" workbookViewId="0"/>
  </sheetViews>
  <sheetFormatPr defaultRowHeight="15"/>
  <cols>
    <col min="1" max="1" width="8.375" bestFit="1" customWidth="1"/>
    <col min="2" max="2" width="6.25" bestFit="1" customWidth="1"/>
    <col min="3" max="3" width="3.875" bestFit="1" customWidth="1"/>
    <col min="4" max="4" width="16.375" bestFit="1" customWidth="1"/>
    <col min="5" max="5" width="12.125" bestFit="1" customWidth="1"/>
    <col min="6" max="6" width="13.125" bestFit="1" customWidth="1"/>
    <col min="7" max="7" width="18.625" bestFit="1" customWidth="1"/>
    <col min="8" max="8" width="10" bestFit="1" customWidth="1"/>
    <col min="9" max="9" width="12.5" bestFit="1" customWidth="1"/>
    <col min="10" max="10" width="12.25" bestFit="1" customWidth="1"/>
    <col min="11" max="11" width="8.875" bestFit="1" customWidth="1"/>
    <col min="12" max="12" width="9.5" bestFit="1" customWidth="1"/>
    <col min="13" max="13" width="12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27</v>
      </c>
      <c r="D2" t="s">
        <v>14</v>
      </c>
      <c r="E2">
        <v>6.1</v>
      </c>
      <c r="F2">
        <v>6</v>
      </c>
      <c r="G2">
        <v>42</v>
      </c>
      <c r="H2">
        <v>6</v>
      </c>
      <c r="I2" t="s">
        <v>15</v>
      </c>
      <c r="J2" t="s">
        <v>16</v>
      </c>
      <c r="K2">
        <v>77</v>
      </c>
      <c r="L2">
        <v>4200</v>
      </c>
      <c r="M2" t="s">
        <v>17</v>
      </c>
    </row>
    <row r="3" spans="1:13">
      <c r="A3">
        <v>2</v>
      </c>
      <c r="B3" t="s">
        <v>13</v>
      </c>
      <c r="C3">
        <v>28</v>
      </c>
      <c r="D3" t="s">
        <v>18</v>
      </c>
      <c r="E3">
        <v>6.2</v>
      </c>
      <c r="F3">
        <v>6</v>
      </c>
      <c r="G3">
        <v>60</v>
      </c>
      <c r="H3">
        <v>8</v>
      </c>
      <c r="I3" t="s">
        <v>19</v>
      </c>
      <c r="J3" t="s">
        <v>20</v>
      </c>
      <c r="K3">
        <v>75</v>
      </c>
      <c r="L3">
        <v>10000</v>
      </c>
      <c r="M3" t="s">
        <v>17</v>
      </c>
    </row>
    <row r="4" spans="1:13">
      <c r="A4">
        <v>3</v>
      </c>
      <c r="B4" t="s">
        <v>13</v>
      </c>
      <c r="C4">
        <v>28</v>
      </c>
      <c r="D4" t="s">
        <v>18</v>
      </c>
      <c r="E4">
        <v>6.2</v>
      </c>
      <c r="F4">
        <v>6</v>
      </c>
      <c r="G4">
        <v>60</v>
      </c>
      <c r="H4">
        <v>8</v>
      </c>
      <c r="I4" t="s">
        <v>19</v>
      </c>
      <c r="J4" t="s">
        <v>20</v>
      </c>
      <c r="K4">
        <v>75</v>
      </c>
      <c r="L4">
        <v>10000</v>
      </c>
      <c r="M4" t="s">
        <v>17</v>
      </c>
    </row>
    <row r="5" spans="1:13">
      <c r="A5">
        <v>4</v>
      </c>
      <c r="B5" t="s">
        <v>13</v>
      </c>
      <c r="C5">
        <v>28</v>
      </c>
      <c r="D5" t="s">
        <v>21</v>
      </c>
      <c r="E5">
        <v>5.9</v>
      </c>
      <c r="F5">
        <v>4</v>
      </c>
      <c r="G5">
        <v>30</v>
      </c>
      <c r="H5">
        <v>8</v>
      </c>
      <c r="I5" t="s">
        <v>22</v>
      </c>
      <c r="J5" t="s">
        <v>23</v>
      </c>
      <c r="K5">
        <v>85</v>
      </c>
      <c r="L5">
        <v>3000</v>
      </c>
      <c r="M5" t="s">
        <v>24</v>
      </c>
    </row>
    <row r="6" spans="1:13">
      <c r="A6">
        <v>5</v>
      </c>
      <c r="B6" t="s">
        <v>13</v>
      </c>
      <c r="C6">
        <v>28</v>
      </c>
      <c r="D6" t="s">
        <v>21</v>
      </c>
      <c r="E6">
        <v>5.9</v>
      </c>
      <c r="F6">
        <v>4</v>
      </c>
      <c r="G6">
        <v>30</v>
      </c>
      <c r="H6">
        <v>8</v>
      </c>
      <c r="I6" t="s">
        <v>22</v>
      </c>
      <c r="J6" t="s">
        <v>23</v>
      </c>
      <c r="K6">
        <v>85</v>
      </c>
      <c r="L6">
        <v>3000</v>
      </c>
      <c r="M6" t="s">
        <v>24</v>
      </c>
    </row>
    <row r="7" spans="1:13">
      <c r="A7">
        <v>6</v>
      </c>
      <c r="B7" t="s">
        <v>13</v>
      </c>
      <c r="C7">
        <v>28</v>
      </c>
      <c r="D7" t="s">
        <v>14</v>
      </c>
      <c r="E7">
        <v>5.9</v>
      </c>
      <c r="F7">
        <v>4</v>
      </c>
      <c r="G7">
        <v>30</v>
      </c>
      <c r="H7">
        <v>8</v>
      </c>
      <c r="I7" t="s">
        <v>22</v>
      </c>
      <c r="J7" t="s">
        <v>23</v>
      </c>
      <c r="K7">
        <v>85</v>
      </c>
      <c r="L7">
        <v>3000</v>
      </c>
      <c r="M7" t="s">
        <v>25</v>
      </c>
    </row>
    <row r="8" spans="1:13">
      <c r="A8">
        <v>7</v>
      </c>
      <c r="B8" t="s">
        <v>13</v>
      </c>
      <c r="C8">
        <v>29</v>
      </c>
      <c r="D8" t="s">
        <v>26</v>
      </c>
      <c r="E8">
        <v>6.3</v>
      </c>
      <c r="F8">
        <v>6</v>
      </c>
      <c r="G8">
        <v>40</v>
      </c>
      <c r="H8">
        <v>7</v>
      </c>
      <c r="I8" t="s">
        <v>22</v>
      </c>
      <c r="J8" t="s">
        <v>23</v>
      </c>
      <c r="K8">
        <v>82</v>
      </c>
      <c r="L8">
        <v>3500</v>
      </c>
      <c r="M8" t="s">
        <v>25</v>
      </c>
    </row>
    <row r="9" spans="1:13">
      <c r="A9">
        <v>8</v>
      </c>
      <c r="B9" t="s">
        <v>13</v>
      </c>
      <c r="C9">
        <v>29</v>
      </c>
      <c r="D9" t="s">
        <v>18</v>
      </c>
      <c r="E9">
        <v>7.8</v>
      </c>
      <c r="F9">
        <v>7</v>
      </c>
      <c r="G9">
        <v>75</v>
      </c>
      <c r="H9">
        <v>6</v>
      </c>
      <c r="I9" t="s">
        <v>19</v>
      </c>
      <c r="J9" t="s">
        <v>27</v>
      </c>
      <c r="K9">
        <v>70</v>
      </c>
      <c r="L9">
        <v>8000</v>
      </c>
      <c r="M9" t="s">
        <v>17</v>
      </c>
    </row>
    <row r="10" spans="1:13">
      <c r="A10">
        <v>9</v>
      </c>
      <c r="B10" t="s">
        <v>13</v>
      </c>
      <c r="C10">
        <v>29</v>
      </c>
      <c r="D10" t="s">
        <v>18</v>
      </c>
      <c r="E10">
        <v>7.8</v>
      </c>
      <c r="F10">
        <v>7</v>
      </c>
      <c r="G10">
        <v>75</v>
      </c>
      <c r="H10">
        <v>6</v>
      </c>
      <c r="I10" t="s">
        <v>19</v>
      </c>
      <c r="J10" t="s">
        <v>27</v>
      </c>
      <c r="K10">
        <v>70</v>
      </c>
      <c r="L10">
        <v>8000</v>
      </c>
      <c r="M10" t="s">
        <v>17</v>
      </c>
    </row>
    <row r="11" spans="1:13">
      <c r="A11">
        <v>10</v>
      </c>
      <c r="B11" t="s">
        <v>13</v>
      </c>
      <c r="C11">
        <v>29</v>
      </c>
      <c r="D11" t="s">
        <v>18</v>
      </c>
      <c r="E11">
        <v>7.8</v>
      </c>
      <c r="F11">
        <v>7</v>
      </c>
      <c r="G11">
        <v>75</v>
      </c>
      <c r="H11">
        <v>6</v>
      </c>
      <c r="I11" t="s">
        <v>19</v>
      </c>
      <c r="J11" t="s">
        <v>27</v>
      </c>
      <c r="K11">
        <v>70</v>
      </c>
      <c r="L11">
        <v>8000</v>
      </c>
      <c r="M11" t="s">
        <v>17</v>
      </c>
    </row>
    <row r="12" spans="1:13">
      <c r="A12">
        <v>11</v>
      </c>
      <c r="B12" t="s">
        <v>13</v>
      </c>
      <c r="C12">
        <v>29</v>
      </c>
      <c r="D12" t="s">
        <v>18</v>
      </c>
      <c r="E12">
        <v>6.1</v>
      </c>
      <c r="F12">
        <v>6</v>
      </c>
      <c r="G12">
        <v>30</v>
      </c>
      <c r="H12">
        <v>8</v>
      </c>
      <c r="I12" t="s">
        <v>19</v>
      </c>
      <c r="J12" t="s">
        <v>27</v>
      </c>
      <c r="K12">
        <v>70</v>
      </c>
      <c r="L12">
        <v>8000</v>
      </c>
      <c r="M12" t="s">
        <v>17</v>
      </c>
    </row>
    <row r="13" spans="1:13">
      <c r="A13">
        <v>12</v>
      </c>
      <c r="B13" t="s">
        <v>13</v>
      </c>
      <c r="C13">
        <v>29</v>
      </c>
      <c r="D13" t="s">
        <v>18</v>
      </c>
      <c r="E13">
        <v>7.8</v>
      </c>
      <c r="F13">
        <v>7</v>
      </c>
      <c r="G13">
        <v>75</v>
      </c>
      <c r="H13">
        <v>6</v>
      </c>
      <c r="I13" t="s">
        <v>19</v>
      </c>
      <c r="J13" t="s">
        <v>27</v>
      </c>
      <c r="K13">
        <v>70</v>
      </c>
      <c r="L13">
        <v>8000</v>
      </c>
      <c r="M13" t="s">
        <v>17</v>
      </c>
    </row>
    <row r="14" spans="1:13">
      <c r="A14">
        <v>13</v>
      </c>
      <c r="B14" t="s">
        <v>13</v>
      </c>
      <c r="C14">
        <v>29</v>
      </c>
      <c r="D14" t="s">
        <v>18</v>
      </c>
      <c r="E14">
        <v>6.1</v>
      </c>
      <c r="F14">
        <v>6</v>
      </c>
      <c r="G14">
        <v>30</v>
      </c>
      <c r="H14">
        <v>8</v>
      </c>
      <c r="I14" t="s">
        <v>19</v>
      </c>
      <c r="J14" t="s">
        <v>27</v>
      </c>
      <c r="K14">
        <v>70</v>
      </c>
      <c r="L14">
        <v>8000</v>
      </c>
      <c r="M14" t="s">
        <v>17</v>
      </c>
    </row>
    <row r="15" spans="1:13">
      <c r="A15">
        <v>14</v>
      </c>
      <c r="B15" t="s">
        <v>13</v>
      </c>
      <c r="C15">
        <v>29</v>
      </c>
      <c r="D15" t="s">
        <v>18</v>
      </c>
      <c r="E15">
        <v>6</v>
      </c>
      <c r="F15">
        <v>6</v>
      </c>
      <c r="G15">
        <v>30</v>
      </c>
      <c r="H15">
        <v>8</v>
      </c>
      <c r="I15" t="s">
        <v>19</v>
      </c>
      <c r="J15" t="s">
        <v>27</v>
      </c>
      <c r="K15">
        <v>70</v>
      </c>
      <c r="L15">
        <v>8000</v>
      </c>
      <c r="M15" t="s">
        <v>17</v>
      </c>
    </row>
    <row r="16" spans="1:13">
      <c r="A16">
        <v>15</v>
      </c>
      <c r="B16" t="s">
        <v>13</v>
      </c>
      <c r="C16">
        <v>29</v>
      </c>
      <c r="D16" t="s">
        <v>18</v>
      </c>
      <c r="E16">
        <v>6</v>
      </c>
      <c r="F16">
        <v>6</v>
      </c>
      <c r="G16">
        <v>30</v>
      </c>
      <c r="H16">
        <v>8</v>
      </c>
      <c r="I16" t="s">
        <v>19</v>
      </c>
      <c r="J16" t="s">
        <v>27</v>
      </c>
      <c r="K16">
        <v>70</v>
      </c>
      <c r="L16">
        <v>8000</v>
      </c>
      <c r="M16" t="s">
        <v>17</v>
      </c>
    </row>
    <row r="17" spans="1:13">
      <c r="A17">
        <v>16</v>
      </c>
      <c r="B17" t="s">
        <v>13</v>
      </c>
      <c r="C17">
        <v>29</v>
      </c>
      <c r="D17" t="s">
        <v>18</v>
      </c>
      <c r="E17">
        <v>6</v>
      </c>
      <c r="F17">
        <v>6</v>
      </c>
      <c r="G17">
        <v>30</v>
      </c>
      <c r="H17">
        <v>8</v>
      </c>
      <c r="I17" t="s">
        <v>19</v>
      </c>
      <c r="J17" t="s">
        <v>27</v>
      </c>
      <c r="K17">
        <v>70</v>
      </c>
      <c r="L17">
        <v>8000</v>
      </c>
      <c r="M17" t="s">
        <v>17</v>
      </c>
    </row>
    <row r="18" spans="1:13">
      <c r="A18">
        <v>17</v>
      </c>
      <c r="B18" t="s">
        <v>28</v>
      </c>
      <c r="C18">
        <v>29</v>
      </c>
      <c r="D18" t="s">
        <v>29</v>
      </c>
      <c r="E18">
        <v>6.5</v>
      </c>
      <c r="F18">
        <v>5</v>
      </c>
      <c r="G18">
        <v>40</v>
      </c>
      <c r="H18">
        <v>7</v>
      </c>
      <c r="I18" t="s">
        <v>19</v>
      </c>
      <c r="J18" t="s">
        <v>30</v>
      </c>
      <c r="K18">
        <v>80</v>
      </c>
      <c r="L18">
        <v>4000</v>
      </c>
      <c r="M18" t="s">
        <v>24</v>
      </c>
    </row>
    <row r="19" spans="1:13">
      <c r="A19">
        <v>18</v>
      </c>
      <c r="B19" t="s">
        <v>13</v>
      </c>
      <c r="C19">
        <v>29</v>
      </c>
      <c r="D19" t="s">
        <v>18</v>
      </c>
      <c r="E19">
        <v>6</v>
      </c>
      <c r="F19">
        <v>6</v>
      </c>
      <c r="G19">
        <v>30</v>
      </c>
      <c r="H19">
        <v>8</v>
      </c>
      <c r="I19" t="s">
        <v>19</v>
      </c>
      <c r="J19" t="s">
        <v>27</v>
      </c>
      <c r="K19">
        <v>70</v>
      </c>
      <c r="L19">
        <v>8000</v>
      </c>
      <c r="M19" t="s">
        <v>24</v>
      </c>
    </row>
    <row r="20" spans="1:13">
      <c r="A20">
        <v>19</v>
      </c>
      <c r="B20" t="s">
        <v>28</v>
      </c>
      <c r="C20">
        <v>29</v>
      </c>
      <c r="D20" t="s">
        <v>29</v>
      </c>
      <c r="E20">
        <v>6.5</v>
      </c>
      <c r="F20">
        <v>5</v>
      </c>
      <c r="G20">
        <v>40</v>
      </c>
      <c r="H20">
        <v>7</v>
      </c>
      <c r="I20" t="s">
        <v>19</v>
      </c>
      <c r="J20" t="s">
        <v>30</v>
      </c>
      <c r="K20">
        <v>80</v>
      </c>
      <c r="L20">
        <v>4000</v>
      </c>
      <c r="M20" t="s">
        <v>25</v>
      </c>
    </row>
    <row r="21" spans="1:13">
      <c r="A21">
        <v>20</v>
      </c>
      <c r="B21" t="s">
        <v>13</v>
      </c>
      <c r="C21">
        <v>30</v>
      </c>
      <c r="D21" t="s">
        <v>18</v>
      </c>
      <c r="E21">
        <v>7.6</v>
      </c>
      <c r="F21">
        <v>7</v>
      </c>
      <c r="G21">
        <v>75</v>
      </c>
      <c r="H21">
        <v>6</v>
      </c>
      <c r="I21" t="s">
        <v>19</v>
      </c>
      <c r="J21" t="s">
        <v>27</v>
      </c>
      <c r="K21">
        <v>70</v>
      </c>
      <c r="L21">
        <v>8000</v>
      </c>
      <c r="M21" t="s">
        <v>17</v>
      </c>
    </row>
    <row r="22" spans="1:13">
      <c r="A22">
        <v>21</v>
      </c>
      <c r="B22" t="s">
        <v>13</v>
      </c>
      <c r="C22">
        <v>30</v>
      </c>
      <c r="D22" t="s">
        <v>18</v>
      </c>
      <c r="E22">
        <v>7.7</v>
      </c>
      <c r="F22">
        <v>7</v>
      </c>
      <c r="G22">
        <v>75</v>
      </c>
      <c r="H22">
        <v>6</v>
      </c>
      <c r="I22" t="s">
        <v>19</v>
      </c>
      <c r="J22" t="s">
        <v>27</v>
      </c>
      <c r="K22">
        <v>70</v>
      </c>
      <c r="L22">
        <v>8000</v>
      </c>
      <c r="M22" t="s">
        <v>17</v>
      </c>
    </row>
    <row r="23" spans="1:13">
      <c r="A23">
        <v>22</v>
      </c>
      <c r="B23" t="s">
        <v>13</v>
      </c>
      <c r="C23">
        <v>30</v>
      </c>
      <c r="D23" t="s">
        <v>18</v>
      </c>
      <c r="E23">
        <v>7.7</v>
      </c>
      <c r="F23">
        <v>7</v>
      </c>
      <c r="G23">
        <v>75</v>
      </c>
      <c r="H23">
        <v>6</v>
      </c>
      <c r="I23" t="s">
        <v>19</v>
      </c>
      <c r="J23" t="s">
        <v>27</v>
      </c>
      <c r="K23">
        <v>70</v>
      </c>
      <c r="L23">
        <v>8000</v>
      </c>
      <c r="M23" t="s">
        <v>17</v>
      </c>
    </row>
    <row r="24" spans="1:13">
      <c r="A24">
        <v>23</v>
      </c>
      <c r="B24" t="s">
        <v>13</v>
      </c>
      <c r="C24">
        <v>30</v>
      </c>
      <c r="D24" t="s">
        <v>18</v>
      </c>
      <c r="E24">
        <v>7.7</v>
      </c>
      <c r="F24">
        <v>7</v>
      </c>
      <c r="G24">
        <v>75</v>
      </c>
      <c r="H24">
        <v>6</v>
      </c>
      <c r="I24" t="s">
        <v>19</v>
      </c>
      <c r="J24" t="s">
        <v>27</v>
      </c>
      <c r="K24">
        <v>70</v>
      </c>
      <c r="L24">
        <v>8000</v>
      </c>
      <c r="M24" t="s">
        <v>17</v>
      </c>
    </row>
    <row r="25" spans="1:13">
      <c r="A25">
        <v>24</v>
      </c>
      <c r="B25" t="s">
        <v>13</v>
      </c>
      <c r="C25">
        <v>30</v>
      </c>
      <c r="D25" t="s">
        <v>18</v>
      </c>
      <c r="E25">
        <v>7.7</v>
      </c>
      <c r="F25">
        <v>7</v>
      </c>
      <c r="G25">
        <v>75</v>
      </c>
      <c r="H25">
        <v>6</v>
      </c>
      <c r="I25" t="s">
        <v>19</v>
      </c>
      <c r="J25" t="s">
        <v>27</v>
      </c>
      <c r="K25">
        <v>70</v>
      </c>
      <c r="L25">
        <v>8000</v>
      </c>
      <c r="M25" t="s">
        <v>17</v>
      </c>
    </row>
    <row r="26" spans="1:13">
      <c r="A26">
        <v>25</v>
      </c>
      <c r="B26" t="s">
        <v>13</v>
      </c>
      <c r="C26">
        <v>30</v>
      </c>
      <c r="D26" t="s">
        <v>18</v>
      </c>
      <c r="E26">
        <v>7.8</v>
      </c>
      <c r="F26">
        <v>7</v>
      </c>
      <c r="G26">
        <v>75</v>
      </c>
      <c r="H26">
        <v>6</v>
      </c>
      <c r="I26" t="s">
        <v>19</v>
      </c>
      <c r="J26" t="s">
        <v>27</v>
      </c>
      <c r="K26">
        <v>70</v>
      </c>
      <c r="L26">
        <v>8000</v>
      </c>
      <c r="M26" t="s">
        <v>17</v>
      </c>
    </row>
    <row r="27" spans="1:13">
      <c r="A27">
        <v>26</v>
      </c>
      <c r="B27" t="s">
        <v>13</v>
      </c>
      <c r="C27">
        <v>30</v>
      </c>
      <c r="D27" t="s">
        <v>18</v>
      </c>
      <c r="E27">
        <v>7.9</v>
      </c>
      <c r="F27">
        <v>7</v>
      </c>
      <c r="G27">
        <v>75</v>
      </c>
      <c r="H27">
        <v>6</v>
      </c>
      <c r="I27" t="s">
        <v>19</v>
      </c>
      <c r="J27" t="s">
        <v>27</v>
      </c>
      <c r="K27">
        <v>70</v>
      </c>
      <c r="L27">
        <v>8000</v>
      </c>
      <c r="M27" t="s">
        <v>17</v>
      </c>
    </row>
    <row r="28" spans="1:13">
      <c r="A28">
        <v>27</v>
      </c>
      <c r="B28" t="s">
        <v>13</v>
      </c>
      <c r="C28">
        <v>30</v>
      </c>
      <c r="D28" t="s">
        <v>18</v>
      </c>
      <c r="E28">
        <v>7.8</v>
      </c>
      <c r="F28">
        <v>7</v>
      </c>
      <c r="G28">
        <v>75</v>
      </c>
      <c r="H28">
        <v>6</v>
      </c>
      <c r="I28" t="s">
        <v>19</v>
      </c>
      <c r="J28" t="s">
        <v>27</v>
      </c>
      <c r="K28">
        <v>70</v>
      </c>
      <c r="L28">
        <v>8000</v>
      </c>
      <c r="M28" t="s">
        <v>17</v>
      </c>
    </row>
    <row r="29" spans="1:13">
      <c r="A29">
        <v>28</v>
      </c>
      <c r="B29" t="s">
        <v>13</v>
      </c>
      <c r="C29">
        <v>30</v>
      </c>
      <c r="D29" t="s">
        <v>18</v>
      </c>
      <c r="E29">
        <v>7.9</v>
      </c>
      <c r="F29">
        <v>7</v>
      </c>
      <c r="G29">
        <v>75</v>
      </c>
      <c r="H29">
        <v>6</v>
      </c>
      <c r="I29" t="s">
        <v>19</v>
      </c>
      <c r="J29" t="s">
        <v>27</v>
      </c>
      <c r="K29">
        <v>70</v>
      </c>
      <c r="L29">
        <v>8000</v>
      </c>
      <c r="M29" t="s">
        <v>17</v>
      </c>
    </row>
    <row r="30" spans="1:13">
      <c r="A30">
        <v>29</v>
      </c>
      <c r="B30" t="s">
        <v>13</v>
      </c>
      <c r="C30">
        <v>30</v>
      </c>
      <c r="D30" t="s">
        <v>18</v>
      </c>
      <c r="E30">
        <v>7.9</v>
      </c>
      <c r="F30">
        <v>7</v>
      </c>
      <c r="G30">
        <v>75</v>
      </c>
      <c r="H30">
        <v>6</v>
      </c>
      <c r="I30" t="s">
        <v>19</v>
      </c>
      <c r="J30" t="s">
        <v>27</v>
      </c>
      <c r="K30">
        <v>70</v>
      </c>
      <c r="L30">
        <v>8000</v>
      </c>
      <c r="M30" t="s">
        <v>17</v>
      </c>
    </row>
    <row r="31" spans="1:13">
      <c r="A31">
        <v>30</v>
      </c>
      <c r="B31" t="s">
        <v>13</v>
      </c>
      <c r="C31">
        <v>30</v>
      </c>
      <c r="D31" t="s">
        <v>18</v>
      </c>
      <c r="E31">
        <v>7.9</v>
      </c>
      <c r="F31">
        <v>7</v>
      </c>
      <c r="G31">
        <v>75</v>
      </c>
      <c r="H31">
        <v>6</v>
      </c>
      <c r="I31" t="s">
        <v>19</v>
      </c>
      <c r="J31" t="s">
        <v>27</v>
      </c>
      <c r="K31">
        <v>70</v>
      </c>
      <c r="L31">
        <v>8000</v>
      </c>
      <c r="M31" t="s">
        <v>17</v>
      </c>
    </row>
    <row r="32" spans="1:13">
      <c r="A32">
        <v>31</v>
      </c>
      <c r="B32" t="s">
        <v>28</v>
      </c>
      <c r="C32">
        <v>30</v>
      </c>
      <c r="D32" t="s">
        <v>29</v>
      </c>
      <c r="E32">
        <v>6.4</v>
      </c>
      <c r="F32">
        <v>5</v>
      </c>
      <c r="G32">
        <v>35</v>
      </c>
      <c r="H32">
        <v>7</v>
      </c>
      <c r="I32" t="s">
        <v>19</v>
      </c>
      <c r="J32" t="s">
        <v>31</v>
      </c>
      <c r="K32">
        <v>78</v>
      </c>
      <c r="L32">
        <v>4100</v>
      </c>
      <c r="M32" t="s">
        <v>24</v>
      </c>
    </row>
    <row r="33" spans="1:13">
      <c r="A33">
        <v>32</v>
      </c>
      <c r="B33" t="s">
        <v>28</v>
      </c>
      <c r="C33">
        <v>30</v>
      </c>
      <c r="D33" t="s">
        <v>29</v>
      </c>
      <c r="E33">
        <v>6.4</v>
      </c>
      <c r="F33">
        <v>5</v>
      </c>
      <c r="G33">
        <v>35</v>
      </c>
      <c r="H33">
        <v>7</v>
      </c>
      <c r="I33" t="s">
        <v>19</v>
      </c>
      <c r="J33" t="s">
        <v>31</v>
      </c>
      <c r="K33">
        <v>78</v>
      </c>
      <c r="L33">
        <v>4100</v>
      </c>
      <c r="M33" t="s">
        <v>25</v>
      </c>
    </row>
    <row r="34" spans="1:13">
      <c r="A34">
        <v>33</v>
      </c>
      <c r="B34" t="s">
        <v>28</v>
      </c>
      <c r="C34">
        <v>31</v>
      </c>
      <c r="D34" t="s">
        <v>29</v>
      </c>
      <c r="E34">
        <v>7.9</v>
      </c>
      <c r="F34">
        <v>8</v>
      </c>
      <c r="G34">
        <v>75</v>
      </c>
      <c r="H34">
        <v>4</v>
      </c>
      <c r="I34" t="s">
        <v>19</v>
      </c>
      <c r="J34" t="s">
        <v>32</v>
      </c>
      <c r="K34">
        <v>69</v>
      </c>
      <c r="L34">
        <v>6800</v>
      </c>
      <c r="M34" t="s">
        <v>17</v>
      </c>
    </row>
    <row r="35" spans="1:13">
      <c r="A35">
        <v>34</v>
      </c>
      <c r="B35" t="s">
        <v>13</v>
      </c>
      <c r="C35">
        <v>31</v>
      </c>
      <c r="D35" t="s">
        <v>18</v>
      </c>
      <c r="E35">
        <v>6.1</v>
      </c>
      <c r="F35">
        <v>6</v>
      </c>
      <c r="G35">
        <v>30</v>
      </c>
      <c r="H35">
        <v>8</v>
      </c>
      <c r="I35" t="s">
        <v>19</v>
      </c>
      <c r="J35" t="s">
        <v>20</v>
      </c>
      <c r="K35">
        <v>72</v>
      </c>
      <c r="L35">
        <v>5000</v>
      </c>
      <c r="M35" t="s">
        <v>17</v>
      </c>
    </row>
    <row r="36" spans="1:13">
      <c r="A36">
        <v>35</v>
      </c>
      <c r="B36" t="s">
        <v>13</v>
      </c>
      <c r="C36">
        <v>31</v>
      </c>
      <c r="D36" t="s">
        <v>18</v>
      </c>
      <c r="E36">
        <v>7.7</v>
      </c>
      <c r="F36">
        <v>7</v>
      </c>
      <c r="G36">
        <v>75</v>
      </c>
      <c r="H36">
        <v>6</v>
      </c>
      <c r="I36" t="s">
        <v>19</v>
      </c>
      <c r="J36" t="s">
        <v>27</v>
      </c>
      <c r="K36">
        <v>70</v>
      </c>
      <c r="L36">
        <v>8000</v>
      </c>
      <c r="M36" t="s">
        <v>17</v>
      </c>
    </row>
    <row r="37" spans="1:13">
      <c r="A37">
        <v>36</v>
      </c>
      <c r="B37" t="s">
        <v>13</v>
      </c>
      <c r="C37">
        <v>31</v>
      </c>
      <c r="D37" t="s">
        <v>18</v>
      </c>
      <c r="E37">
        <v>6.1</v>
      </c>
      <c r="F37">
        <v>6</v>
      </c>
      <c r="G37">
        <v>30</v>
      </c>
      <c r="H37">
        <v>8</v>
      </c>
      <c r="I37" t="s">
        <v>19</v>
      </c>
      <c r="J37" t="s">
        <v>20</v>
      </c>
      <c r="K37">
        <v>72</v>
      </c>
      <c r="L37">
        <v>5000</v>
      </c>
      <c r="M37" t="s">
        <v>17</v>
      </c>
    </row>
    <row r="38" spans="1:13">
      <c r="A38">
        <v>37</v>
      </c>
      <c r="B38" t="s">
        <v>13</v>
      </c>
      <c r="C38">
        <v>31</v>
      </c>
      <c r="D38" t="s">
        <v>18</v>
      </c>
      <c r="E38">
        <v>6.1</v>
      </c>
      <c r="F38">
        <v>6</v>
      </c>
      <c r="G38">
        <v>30</v>
      </c>
      <c r="H38">
        <v>8</v>
      </c>
      <c r="I38" t="s">
        <v>19</v>
      </c>
      <c r="J38" t="s">
        <v>20</v>
      </c>
      <c r="K38">
        <v>72</v>
      </c>
      <c r="L38">
        <v>5000</v>
      </c>
      <c r="M38" t="s">
        <v>17</v>
      </c>
    </row>
    <row r="39" spans="1:13">
      <c r="A39">
        <v>38</v>
      </c>
      <c r="B39" t="s">
        <v>13</v>
      </c>
      <c r="C39">
        <v>31</v>
      </c>
      <c r="D39" t="s">
        <v>18</v>
      </c>
      <c r="E39">
        <v>7.6</v>
      </c>
      <c r="F39">
        <v>7</v>
      </c>
      <c r="G39">
        <v>75</v>
      </c>
      <c r="H39">
        <v>6</v>
      </c>
      <c r="I39" t="s">
        <v>19</v>
      </c>
      <c r="J39" t="s">
        <v>27</v>
      </c>
      <c r="K39">
        <v>70</v>
      </c>
      <c r="L39">
        <v>8000</v>
      </c>
      <c r="M39" t="s">
        <v>17</v>
      </c>
    </row>
    <row r="40" spans="1:13">
      <c r="A40">
        <v>39</v>
      </c>
      <c r="B40" t="s">
        <v>13</v>
      </c>
      <c r="C40">
        <v>31</v>
      </c>
      <c r="D40" t="s">
        <v>18</v>
      </c>
      <c r="E40">
        <v>7.6</v>
      </c>
      <c r="F40">
        <v>7</v>
      </c>
      <c r="G40">
        <v>75</v>
      </c>
      <c r="H40">
        <v>6</v>
      </c>
      <c r="I40" t="s">
        <v>19</v>
      </c>
      <c r="J40" t="s">
        <v>27</v>
      </c>
      <c r="K40">
        <v>70</v>
      </c>
      <c r="L40">
        <v>8000</v>
      </c>
      <c r="M40" t="s">
        <v>17</v>
      </c>
    </row>
    <row r="41" spans="1:13">
      <c r="A41">
        <v>40</v>
      </c>
      <c r="B41" t="s">
        <v>13</v>
      </c>
      <c r="C41">
        <v>31</v>
      </c>
      <c r="D41" t="s">
        <v>18</v>
      </c>
      <c r="E41">
        <v>7.6</v>
      </c>
      <c r="F41">
        <v>7</v>
      </c>
      <c r="G41">
        <v>75</v>
      </c>
      <c r="H41">
        <v>6</v>
      </c>
      <c r="I41" t="s">
        <v>19</v>
      </c>
      <c r="J41" t="s">
        <v>27</v>
      </c>
      <c r="K41">
        <v>70</v>
      </c>
      <c r="L41">
        <v>8000</v>
      </c>
      <c r="M41" t="s">
        <v>17</v>
      </c>
    </row>
    <row r="42" spans="1:13">
      <c r="A42">
        <v>41</v>
      </c>
      <c r="B42" t="s">
        <v>13</v>
      </c>
      <c r="C42">
        <v>31</v>
      </c>
      <c r="D42" t="s">
        <v>18</v>
      </c>
      <c r="E42">
        <v>7.7</v>
      </c>
      <c r="F42">
        <v>7</v>
      </c>
      <c r="G42">
        <v>75</v>
      </c>
      <c r="H42">
        <v>6</v>
      </c>
      <c r="I42" t="s">
        <v>19</v>
      </c>
      <c r="J42" t="s">
        <v>27</v>
      </c>
      <c r="K42">
        <v>70</v>
      </c>
      <c r="L42">
        <v>8000</v>
      </c>
      <c r="M42" t="s">
        <v>17</v>
      </c>
    </row>
    <row r="43" spans="1:13">
      <c r="A43">
        <v>42</v>
      </c>
      <c r="B43" t="s">
        <v>13</v>
      </c>
      <c r="C43">
        <v>31</v>
      </c>
      <c r="D43" t="s">
        <v>18</v>
      </c>
      <c r="E43">
        <v>7.7</v>
      </c>
      <c r="F43">
        <v>7</v>
      </c>
      <c r="G43">
        <v>75</v>
      </c>
      <c r="H43">
        <v>6</v>
      </c>
      <c r="I43" t="s">
        <v>19</v>
      </c>
      <c r="J43" t="s">
        <v>27</v>
      </c>
      <c r="K43">
        <v>70</v>
      </c>
      <c r="L43">
        <v>8000</v>
      </c>
      <c r="M43" t="s">
        <v>17</v>
      </c>
    </row>
    <row r="44" spans="1:13">
      <c r="A44">
        <v>43</v>
      </c>
      <c r="B44" t="s">
        <v>13</v>
      </c>
      <c r="C44">
        <v>31</v>
      </c>
      <c r="D44" t="s">
        <v>18</v>
      </c>
      <c r="E44">
        <v>7.7</v>
      </c>
      <c r="F44">
        <v>7</v>
      </c>
      <c r="G44">
        <v>75</v>
      </c>
      <c r="H44">
        <v>6</v>
      </c>
      <c r="I44" t="s">
        <v>19</v>
      </c>
      <c r="J44" t="s">
        <v>27</v>
      </c>
      <c r="K44">
        <v>70</v>
      </c>
      <c r="L44">
        <v>8000</v>
      </c>
      <c r="M44" t="s">
        <v>17</v>
      </c>
    </row>
    <row r="45" spans="1:13">
      <c r="A45">
        <v>44</v>
      </c>
      <c r="B45" t="s">
        <v>13</v>
      </c>
      <c r="C45">
        <v>31</v>
      </c>
      <c r="D45" t="s">
        <v>18</v>
      </c>
      <c r="E45">
        <v>7.8</v>
      </c>
      <c r="F45">
        <v>7</v>
      </c>
      <c r="G45">
        <v>75</v>
      </c>
      <c r="H45">
        <v>6</v>
      </c>
      <c r="I45" t="s">
        <v>19</v>
      </c>
      <c r="J45" t="s">
        <v>27</v>
      </c>
      <c r="K45">
        <v>70</v>
      </c>
      <c r="L45">
        <v>8000</v>
      </c>
      <c r="M45" t="s">
        <v>17</v>
      </c>
    </row>
    <row r="46" spans="1:13">
      <c r="A46">
        <v>45</v>
      </c>
      <c r="B46" t="s">
        <v>13</v>
      </c>
      <c r="C46">
        <v>31</v>
      </c>
      <c r="D46" t="s">
        <v>18</v>
      </c>
      <c r="E46">
        <v>7.7</v>
      </c>
      <c r="F46">
        <v>7</v>
      </c>
      <c r="G46">
        <v>75</v>
      </c>
      <c r="H46">
        <v>6</v>
      </c>
      <c r="I46" t="s">
        <v>19</v>
      </c>
      <c r="J46" t="s">
        <v>27</v>
      </c>
      <c r="K46">
        <v>70</v>
      </c>
      <c r="L46">
        <v>8000</v>
      </c>
      <c r="M46" t="s">
        <v>17</v>
      </c>
    </row>
    <row r="47" spans="1:13">
      <c r="A47">
        <v>46</v>
      </c>
      <c r="B47" t="s">
        <v>13</v>
      </c>
      <c r="C47">
        <v>31</v>
      </c>
      <c r="D47" t="s">
        <v>18</v>
      </c>
      <c r="E47">
        <v>7.8</v>
      </c>
      <c r="F47">
        <v>7</v>
      </c>
      <c r="G47">
        <v>75</v>
      </c>
      <c r="H47">
        <v>6</v>
      </c>
      <c r="I47" t="s">
        <v>19</v>
      </c>
      <c r="J47" t="s">
        <v>27</v>
      </c>
      <c r="K47">
        <v>70</v>
      </c>
      <c r="L47">
        <v>8000</v>
      </c>
      <c r="M47" t="s">
        <v>17</v>
      </c>
    </row>
    <row r="48" spans="1:13">
      <c r="A48">
        <v>47</v>
      </c>
      <c r="B48" t="s">
        <v>13</v>
      </c>
      <c r="C48">
        <v>31</v>
      </c>
      <c r="D48" t="s">
        <v>18</v>
      </c>
      <c r="E48">
        <v>7.7</v>
      </c>
      <c r="F48">
        <v>7</v>
      </c>
      <c r="G48">
        <v>75</v>
      </c>
      <c r="H48">
        <v>6</v>
      </c>
      <c r="I48" t="s">
        <v>19</v>
      </c>
      <c r="J48" t="s">
        <v>27</v>
      </c>
      <c r="K48">
        <v>70</v>
      </c>
      <c r="L48">
        <v>8000</v>
      </c>
      <c r="M48" t="s">
        <v>17</v>
      </c>
    </row>
    <row r="49" spans="1:13">
      <c r="A49">
        <v>48</v>
      </c>
      <c r="B49" t="s">
        <v>13</v>
      </c>
      <c r="C49">
        <v>31</v>
      </c>
      <c r="D49" t="s">
        <v>18</v>
      </c>
      <c r="E49">
        <v>7.8</v>
      </c>
      <c r="F49">
        <v>7</v>
      </c>
      <c r="G49">
        <v>75</v>
      </c>
      <c r="H49">
        <v>6</v>
      </c>
      <c r="I49" t="s">
        <v>19</v>
      </c>
      <c r="J49" t="s">
        <v>27</v>
      </c>
      <c r="K49">
        <v>70</v>
      </c>
      <c r="L49">
        <v>8000</v>
      </c>
      <c r="M49" t="s">
        <v>17</v>
      </c>
    </row>
    <row r="50" spans="1:13">
      <c r="A50">
        <v>49</v>
      </c>
      <c r="B50" t="s">
        <v>13</v>
      </c>
      <c r="C50">
        <v>31</v>
      </c>
      <c r="D50" t="s">
        <v>18</v>
      </c>
      <c r="E50">
        <v>7.7</v>
      </c>
      <c r="F50">
        <v>7</v>
      </c>
      <c r="G50">
        <v>75</v>
      </c>
      <c r="H50">
        <v>6</v>
      </c>
      <c r="I50" t="s">
        <v>19</v>
      </c>
      <c r="J50" t="s">
        <v>27</v>
      </c>
      <c r="K50">
        <v>70</v>
      </c>
      <c r="L50">
        <v>8000</v>
      </c>
      <c r="M50" t="s">
        <v>17</v>
      </c>
    </row>
    <row r="51" spans="1:13">
      <c r="A51">
        <v>50</v>
      </c>
      <c r="B51" t="s">
        <v>13</v>
      </c>
      <c r="C51">
        <v>31</v>
      </c>
      <c r="D51" t="s">
        <v>18</v>
      </c>
      <c r="E51">
        <v>7.7</v>
      </c>
      <c r="F51">
        <v>7</v>
      </c>
      <c r="G51">
        <v>75</v>
      </c>
      <c r="H51">
        <v>6</v>
      </c>
      <c r="I51" t="s">
        <v>19</v>
      </c>
      <c r="J51" t="s">
        <v>27</v>
      </c>
      <c r="K51">
        <v>70</v>
      </c>
      <c r="L51">
        <v>8000</v>
      </c>
      <c r="M51" t="s">
        <v>24</v>
      </c>
    </row>
    <row r="52" spans="1:13">
      <c r="A52">
        <v>51</v>
      </c>
      <c r="B52" t="s">
        <v>13</v>
      </c>
      <c r="C52">
        <v>32</v>
      </c>
      <c r="D52" t="s">
        <v>33</v>
      </c>
      <c r="E52">
        <v>7.5</v>
      </c>
      <c r="F52">
        <v>8</v>
      </c>
      <c r="G52">
        <v>45</v>
      </c>
      <c r="H52">
        <v>3</v>
      </c>
      <c r="I52" t="s">
        <v>19</v>
      </c>
      <c r="J52" t="s">
        <v>27</v>
      </c>
      <c r="K52">
        <v>70</v>
      </c>
      <c r="L52">
        <v>8000</v>
      </c>
      <c r="M52" t="s">
        <v>17</v>
      </c>
    </row>
    <row r="53" spans="1:13">
      <c r="A53">
        <v>52</v>
      </c>
      <c r="B53" t="s">
        <v>13</v>
      </c>
      <c r="C53">
        <v>32</v>
      </c>
      <c r="D53" t="s">
        <v>33</v>
      </c>
      <c r="E53">
        <v>7.5</v>
      </c>
      <c r="F53">
        <v>8</v>
      </c>
      <c r="G53">
        <v>45</v>
      </c>
      <c r="H53">
        <v>3</v>
      </c>
      <c r="I53" t="s">
        <v>19</v>
      </c>
      <c r="J53" t="s">
        <v>27</v>
      </c>
      <c r="K53">
        <v>70</v>
      </c>
      <c r="L53">
        <v>8000</v>
      </c>
      <c r="M53" t="s">
        <v>17</v>
      </c>
    </row>
    <row r="54" spans="1:13">
      <c r="A54">
        <v>53</v>
      </c>
      <c r="B54" t="s">
        <v>13</v>
      </c>
      <c r="C54">
        <v>32</v>
      </c>
      <c r="D54" t="s">
        <v>18</v>
      </c>
      <c r="E54">
        <v>6</v>
      </c>
      <c r="F54">
        <v>6</v>
      </c>
      <c r="G54">
        <v>30</v>
      </c>
      <c r="H54">
        <v>8</v>
      </c>
      <c r="I54" t="s">
        <v>19</v>
      </c>
      <c r="J54" t="s">
        <v>20</v>
      </c>
      <c r="K54">
        <v>72</v>
      </c>
      <c r="L54">
        <v>5000</v>
      </c>
      <c r="M54" t="s">
        <v>17</v>
      </c>
    </row>
    <row r="55" spans="1:13">
      <c r="A55">
        <v>54</v>
      </c>
      <c r="B55" t="s">
        <v>13</v>
      </c>
      <c r="C55">
        <v>32</v>
      </c>
      <c r="D55" t="s">
        <v>18</v>
      </c>
      <c r="E55">
        <v>7.6</v>
      </c>
      <c r="F55">
        <v>7</v>
      </c>
      <c r="G55">
        <v>75</v>
      </c>
      <c r="H55">
        <v>6</v>
      </c>
      <c r="I55" t="s">
        <v>19</v>
      </c>
      <c r="J55" t="s">
        <v>27</v>
      </c>
      <c r="K55">
        <v>70</v>
      </c>
      <c r="L55">
        <v>8000</v>
      </c>
      <c r="M55" t="s">
        <v>17</v>
      </c>
    </row>
    <row r="56" spans="1:13">
      <c r="A56">
        <v>55</v>
      </c>
      <c r="B56" t="s">
        <v>13</v>
      </c>
      <c r="C56">
        <v>32</v>
      </c>
      <c r="D56" t="s">
        <v>18</v>
      </c>
      <c r="E56">
        <v>6</v>
      </c>
      <c r="F56">
        <v>6</v>
      </c>
      <c r="G56">
        <v>30</v>
      </c>
      <c r="H56">
        <v>8</v>
      </c>
      <c r="I56" t="s">
        <v>19</v>
      </c>
      <c r="J56" t="s">
        <v>20</v>
      </c>
      <c r="K56">
        <v>72</v>
      </c>
      <c r="L56">
        <v>5000</v>
      </c>
      <c r="M56" t="s">
        <v>17</v>
      </c>
    </row>
    <row r="57" spans="1:13">
      <c r="A57">
        <v>56</v>
      </c>
      <c r="B57" t="s">
        <v>13</v>
      </c>
      <c r="C57">
        <v>32</v>
      </c>
      <c r="D57" t="s">
        <v>18</v>
      </c>
      <c r="E57">
        <v>6</v>
      </c>
      <c r="F57">
        <v>6</v>
      </c>
      <c r="G57">
        <v>30</v>
      </c>
      <c r="H57">
        <v>8</v>
      </c>
      <c r="I57" t="s">
        <v>19</v>
      </c>
      <c r="J57" t="s">
        <v>20</v>
      </c>
      <c r="K57">
        <v>72</v>
      </c>
      <c r="L57">
        <v>5000</v>
      </c>
      <c r="M57" t="s">
        <v>17</v>
      </c>
    </row>
    <row r="58" spans="1:13">
      <c r="A58">
        <v>57</v>
      </c>
      <c r="B58" t="s">
        <v>13</v>
      </c>
      <c r="C58">
        <v>32</v>
      </c>
      <c r="D58" t="s">
        <v>18</v>
      </c>
      <c r="E58">
        <v>7.7</v>
      </c>
      <c r="F58">
        <v>7</v>
      </c>
      <c r="G58">
        <v>75</v>
      </c>
      <c r="H58">
        <v>6</v>
      </c>
      <c r="I58" t="s">
        <v>19</v>
      </c>
      <c r="J58" t="s">
        <v>27</v>
      </c>
      <c r="K58">
        <v>70</v>
      </c>
      <c r="L58">
        <v>8000</v>
      </c>
      <c r="M58" t="s">
        <v>17</v>
      </c>
    </row>
    <row r="59" spans="1:13">
      <c r="A59">
        <v>58</v>
      </c>
      <c r="B59" t="s">
        <v>13</v>
      </c>
      <c r="C59">
        <v>32</v>
      </c>
      <c r="D59" t="s">
        <v>18</v>
      </c>
      <c r="E59">
        <v>6</v>
      </c>
      <c r="F59">
        <v>6</v>
      </c>
      <c r="G59">
        <v>30</v>
      </c>
      <c r="H59">
        <v>8</v>
      </c>
      <c r="I59" t="s">
        <v>19</v>
      </c>
      <c r="J59" t="s">
        <v>20</v>
      </c>
      <c r="K59">
        <v>72</v>
      </c>
      <c r="L59">
        <v>5000</v>
      </c>
      <c r="M59" t="s">
        <v>17</v>
      </c>
    </row>
    <row r="60" spans="1:13">
      <c r="A60">
        <v>59</v>
      </c>
      <c r="B60" t="s">
        <v>13</v>
      </c>
      <c r="C60">
        <v>32</v>
      </c>
      <c r="D60" t="s">
        <v>18</v>
      </c>
      <c r="E60">
        <v>6</v>
      </c>
      <c r="F60">
        <v>6</v>
      </c>
      <c r="G60">
        <v>30</v>
      </c>
      <c r="H60">
        <v>8</v>
      </c>
      <c r="I60" t="s">
        <v>19</v>
      </c>
      <c r="J60" t="s">
        <v>20</v>
      </c>
      <c r="K60">
        <v>72</v>
      </c>
      <c r="L60">
        <v>5000</v>
      </c>
      <c r="M60" t="s">
        <v>17</v>
      </c>
    </row>
    <row r="61" spans="1:13">
      <c r="A61">
        <v>60</v>
      </c>
      <c r="B61" t="s">
        <v>13</v>
      </c>
      <c r="C61">
        <v>32</v>
      </c>
      <c r="D61" t="s">
        <v>18</v>
      </c>
      <c r="E61">
        <v>7.7</v>
      </c>
      <c r="F61">
        <v>7</v>
      </c>
      <c r="G61">
        <v>75</v>
      </c>
      <c r="H61">
        <v>6</v>
      </c>
      <c r="I61" t="s">
        <v>19</v>
      </c>
      <c r="J61" t="s">
        <v>27</v>
      </c>
      <c r="K61">
        <v>70</v>
      </c>
      <c r="L61">
        <v>8000</v>
      </c>
      <c r="M61" t="s">
        <v>17</v>
      </c>
    </row>
    <row r="62" spans="1:13">
      <c r="A62">
        <v>61</v>
      </c>
      <c r="B62" t="s">
        <v>13</v>
      </c>
      <c r="C62">
        <v>32</v>
      </c>
      <c r="D62" t="s">
        <v>18</v>
      </c>
      <c r="E62">
        <v>6</v>
      </c>
      <c r="F62">
        <v>6</v>
      </c>
      <c r="G62">
        <v>30</v>
      </c>
      <c r="H62">
        <v>8</v>
      </c>
      <c r="I62" t="s">
        <v>19</v>
      </c>
      <c r="J62" t="s">
        <v>20</v>
      </c>
      <c r="K62">
        <v>72</v>
      </c>
      <c r="L62">
        <v>5000</v>
      </c>
      <c r="M62" t="s">
        <v>17</v>
      </c>
    </row>
    <row r="63" spans="1:13">
      <c r="A63">
        <v>62</v>
      </c>
      <c r="B63" t="s">
        <v>13</v>
      </c>
      <c r="C63">
        <v>32</v>
      </c>
      <c r="D63" t="s">
        <v>18</v>
      </c>
      <c r="E63">
        <v>6</v>
      </c>
      <c r="F63">
        <v>6</v>
      </c>
      <c r="G63">
        <v>30</v>
      </c>
      <c r="H63">
        <v>8</v>
      </c>
      <c r="I63" t="s">
        <v>19</v>
      </c>
      <c r="J63" t="s">
        <v>20</v>
      </c>
      <c r="K63">
        <v>72</v>
      </c>
      <c r="L63">
        <v>5000</v>
      </c>
      <c r="M63" t="s">
        <v>17</v>
      </c>
    </row>
    <row r="64" spans="1:13">
      <c r="A64">
        <v>63</v>
      </c>
      <c r="B64" t="s">
        <v>13</v>
      </c>
      <c r="C64">
        <v>32</v>
      </c>
      <c r="D64" t="s">
        <v>18</v>
      </c>
      <c r="E64">
        <v>6.2</v>
      </c>
      <c r="F64">
        <v>6</v>
      </c>
      <c r="G64">
        <v>30</v>
      </c>
      <c r="H64">
        <v>8</v>
      </c>
      <c r="I64" t="s">
        <v>19</v>
      </c>
      <c r="J64" t="s">
        <v>20</v>
      </c>
      <c r="K64">
        <v>72</v>
      </c>
      <c r="L64">
        <v>5000</v>
      </c>
      <c r="M64" t="s">
        <v>17</v>
      </c>
    </row>
    <row r="65" spans="1:13">
      <c r="A65">
        <v>64</v>
      </c>
      <c r="B65" t="s">
        <v>13</v>
      </c>
      <c r="C65">
        <v>32</v>
      </c>
      <c r="D65" t="s">
        <v>18</v>
      </c>
      <c r="E65">
        <v>6.2</v>
      </c>
      <c r="F65">
        <v>6</v>
      </c>
      <c r="G65">
        <v>30</v>
      </c>
      <c r="H65">
        <v>8</v>
      </c>
      <c r="I65" t="s">
        <v>19</v>
      </c>
      <c r="J65" t="s">
        <v>20</v>
      </c>
      <c r="K65">
        <v>72</v>
      </c>
      <c r="L65">
        <v>5000</v>
      </c>
      <c r="M65" t="s">
        <v>17</v>
      </c>
    </row>
    <row r="66" spans="1:13">
      <c r="A66">
        <v>65</v>
      </c>
      <c r="B66" t="s">
        <v>13</v>
      </c>
      <c r="C66">
        <v>32</v>
      </c>
      <c r="D66" t="s">
        <v>18</v>
      </c>
      <c r="E66">
        <v>6.2</v>
      </c>
      <c r="F66">
        <v>6</v>
      </c>
      <c r="G66">
        <v>30</v>
      </c>
      <c r="H66">
        <v>8</v>
      </c>
      <c r="I66" t="s">
        <v>19</v>
      </c>
      <c r="J66" t="s">
        <v>20</v>
      </c>
      <c r="K66">
        <v>72</v>
      </c>
      <c r="L66">
        <v>5000</v>
      </c>
      <c r="M66" t="s">
        <v>17</v>
      </c>
    </row>
    <row r="67" spans="1:13">
      <c r="A67">
        <v>66</v>
      </c>
      <c r="B67" t="s">
        <v>13</v>
      </c>
      <c r="C67">
        <v>32</v>
      </c>
      <c r="D67" t="s">
        <v>18</v>
      </c>
      <c r="E67">
        <v>6.2</v>
      </c>
      <c r="F67">
        <v>6</v>
      </c>
      <c r="G67">
        <v>30</v>
      </c>
      <c r="H67">
        <v>8</v>
      </c>
      <c r="I67" t="s">
        <v>19</v>
      </c>
      <c r="J67" t="s">
        <v>20</v>
      </c>
      <c r="K67">
        <v>72</v>
      </c>
      <c r="L67">
        <v>5000</v>
      </c>
      <c r="M67" t="s">
        <v>17</v>
      </c>
    </row>
    <row r="68" spans="1:13">
      <c r="A68">
        <v>67</v>
      </c>
      <c r="B68" t="s">
        <v>13</v>
      </c>
      <c r="C68">
        <v>32</v>
      </c>
      <c r="D68" t="s">
        <v>34</v>
      </c>
      <c r="E68">
        <v>7.2</v>
      </c>
      <c r="F68">
        <v>8</v>
      </c>
      <c r="G68">
        <v>50</v>
      </c>
      <c r="H68">
        <v>6</v>
      </c>
      <c r="I68" t="s">
        <v>19</v>
      </c>
      <c r="J68" t="s">
        <v>35</v>
      </c>
      <c r="K68">
        <v>68</v>
      </c>
      <c r="L68">
        <v>7000</v>
      </c>
      <c r="M68" t="s">
        <v>17</v>
      </c>
    </row>
    <row r="69" spans="1:13">
      <c r="A69">
        <v>68</v>
      </c>
      <c r="B69" t="s">
        <v>13</v>
      </c>
      <c r="C69">
        <v>33</v>
      </c>
      <c r="D69" t="s">
        <v>18</v>
      </c>
      <c r="E69">
        <v>6</v>
      </c>
      <c r="F69">
        <v>6</v>
      </c>
      <c r="G69">
        <v>30</v>
      </c>
      <c r="H69">
        <v>8</v>
      </c>
      <c r="I69" t="s">
        <v>19</v>
      </c>
      <c r="J69" t="s">
        <v>20</v>
      </c>
      <c r="K69">
        <v>72</v>
      </c>
      <c r="L69">
        <v>5000</v>
      </c>
      <c r="M69" t="s">
        <v>25</v>
      </c>
    </row>
    <row r="70" spans="1:13">
      <c r="A70">
        <v>69</v>
      </c>
      <c r="B70" t="s">
        <v>28</v>
      </c>
      <c r="C70">
        <v>33</v>
      </c>
      <c r="D70" t="s">
        <v>36</v>
      </c>
      <c r="E70">
        <v>6.2</v>
      </c>
      <c r="F70">
        <v>6</v>
      </c>
      <c r="G70">
        <v>50</v>
      </c>
      <c r="H70">
        <v>6</v>
      </c>
      <c r="I70" t="s">
        <v>15</v>
      </c>
      <c r="J70" t="s">
        <v>37</v>
      </c>
      <c r="K70">
        <v>76</v>
      </c>
      <c r="L70">
        <v>5500</v>
      </c>
      <c r="M70" t="s">
        <v>17</v>
      </c>
    </row>
    <row r="71" spans="1:13">
      <c r="A71">
        <v>70</v>
      </c>
      <c r="B71" t="s">
        <v>28</v>
      </c>
      <c r="C71">
        <v>33</v>
      </c>
      <c r="D71" t="s">
        <v>36</v>
      </c>
      <c r="E71">
        <v>6.2</v>
      </c>
      <c r="F71">
        <v>6</v>
      </c>
      <c r="G71">
        <v>50</v>
      </c>
      <c r="H71">
        <v>6</v>
      </c>
      <c r="I71" t="s">
        <v>15</v>
      </c>
      <c r="J71" t="s">
        <v>37</v>
      </c>
      <c r="K71">
        <v>76</v>
      </c>
      <c r="L71">
        <v>5500</v>
      </c>
      <c r="M71" t="s">
        <v>17</v>
      </c>
    </row>
    <row r="72" spans="1:13">
      <c r="A72">
        <v>71</v>
      </c>
      <c r="B72" t="s">
        <v>13</v>
      </c>
      <c r="C72">
        <v>33</v>
      </c>
      <c r="D72" t="s">
        <v>18</v>
      </c>
      <c r="E72">
        <v>6.1</v>
      </c>
      <c r="F72">
        <v>6</v>
      </c>
      <c r="G72">
        <v>30</v>
      </c>
      <c r="H72">
        <v>8</v>
      </c>
      <c r="I72" t="s">
        <v>19</v>
      </c>
      <c r="J72" t="s">
        <v>20</v>
      </c>
      <c r="K72">
        <v>72</v>
      </c>
      <c r="L72">
        <v>5000</v>
      </c>
      <c r="M72" t="s">
        <v>17</v>
      </c>
    </row>
    <row r="73" spans="1:13">
      <c r="A73">
        <v>72</v>
      </c>
      <c r="B73" t="s">
        <v>13</v>
      </c>
      <c r="C73">
        <v>33</v>
      </c>
      <c r="D73" t="s">
        <v>18</v>
      </c>
      <c r="E73">
        <v>6.1</v>
      </c>
      <c r="F73">
        <v>6</v>
      </c>
      <c r="G73">
        <v>30</v>
      </c>
      <c r="H73">
        <v>8</v>
      </c>
      <c r="I73" t="s">
        <v>19</v>
      </c>
      <c r="J73" t="s">
        <v>20</v>
      </c>
      <c r="K73">
        <v>72</v>
      </c>
      <c r="L73">
        <v>5000</v>
      </c>
      <c r="M73" t="s">
        <v>17</v>
      </c>
    </row>
    <row r="74" spans="1:13">
      <c r="A74">
        <v>73</v>
      </c>
      <c r="B74" t="s">
        <v>13</v>
      </c>
      <c r="C74">
        <v>33</v>
      </c>
      <c r="D74" t="s">
        <v>18</v>
      </c>
      <c r="E74">
        <v>6.1</v>
      </c>
      <c r="F74">
        <v>6</v>
      </c>
      <c r="G74">
        <v>30</v>
      </c>
      <c r="H74">
        <v>8</v>
      </c>
      <c r="I74" t="s">
        <v>19</v>
      </c>
      <c r="J74" t="s">
        <v>20</v>
      </c>
      <c r="K74">
        <v>72</v>
      </c>
      <c r="L74">
        <v>5000</v>
      </c>
      <c r="M74" t="s">
        <v>17</v>
      </c>
    </row>
    <row r="75" spans="1:13">
      <c r="A75">
        <v>74</v>
      </c>
      <c r="B75" t="s">
        <v>13</v>
      </c>
      <c r="C75">
        <v>33</v>
      </c>
      <c r="D75" t="s">
        <v>18</v>
      </c>
      <c r="E75">
        <v>6.1</v>
      </c>
      <c r="F75">
        <v>6</v>
      </c>
      <c r="G75">
        <v>30</v>
      </c>
      <c r="H75">
        <v>8</v>
      </c>
      <c r="I75" t="s">
        <v>19</v>
      </c>
      <c r="J75" t="s">
        <v>20</v>
      </c>
      <c r="K75">
        <v>72</v>
      </c>
      <c r="L75">
        <v>5000</v>
      </c>
      <c r="M75" t="s">
        <v>17</v>
      </c>
    </row>
    <row r="76" spans="1:13">
      <c r="A76">
        <v>75</v>
      </c>
      <c r="B76" t="s">
        <v>13</v>
      </c>
      <c r="C76">
        <v>33</v>
      </c>
      <c r="D76" t="s">
        <v>18</v>
      </c>
      <c r="E76">
        <v>6</v>
      </c>
      <c r="F76">
        <v>6</v>
      </c>
      <c r="G76">
        <v>30</v>
      </c>
      <c r="H76">
        <v>8</v>
      </c>
      <c r="I76" t="s">
        <v>19</v>
      </c>
      <c r="J76" t="s">
        <v>20</v>
      </c>
      <c r="K76">
        <v>72</v>
      </c>
      <c r="L76">
        <v>5000</v>
      </c>
      <c r="M76" t="s">
        <v>17</v>
      </c>
    </row>
    <row r="77" spans="1:13">
      <c r="A77">
        <v>76</v>
      </c>
      <c r="B77" t="s">
        <v>13</v>
      </c>
      <c r="C77">
        <v>33</v>
      </c>
      <c r="D77" t="s">
        <v>18</v>
      </c>
      <c r="E77">
        <v>6</v>
      </c>
      <c r="F77">
        <v>6</v>
      </c>
      <c r="G77">
        <v>30</v>
      </c>
      <c r="H77">
        <v>8</v>
      </c>
      <c r="I77" t="s">
        <v>19</v>
      </c>
      <c r="J77" t="s">
        <v>20</v>
      </c>
      <c r="K77">
        <v>72</v>
      </c>
      <c r="L77">
        <v>5000</v>
      </c>
      <c r="M77" t="s">
        <v>17</v>
      </c>
    </row>
    <row r="78" spans="1:13">
      <c r="A78">
        <v>77</v>
      </c>
      <c r="B78" t="s">
        <v>13</v>
      </c>
      <c r="C78">
        <v>33</v>
      </c>
      <c r="D78" t="s">
        <v>18</v>
      </c>
      <c r="E78">
        <v>6</v>
      </c>
      <c r="F78">
        <v>6</v>
      </c>
      <c r="G78">
        <v>30</v>
      </c>
      <c r="H78">
        <v>8</v>
      </c>
      <c r="I78" t="s">
        <v>19</v>
      </c>
      <c r="J78" t="s">
        <v>20</v>
      </c>
      <c r="K78">
        <v>72</v>
      </c>
      <c r="L78">
        <v>5000</v>
      </c>
      <c r="M78" t="s">
        <v>17</v>
      </c>
    </row>
    <row r="79" spans="1:13">
      <c r="A79">
        <v>78</v>
      </c>
      <c r="B79" t="s">
        <v>13</v>
      </c>
      <c r="C79">
        <v>33</v>
      </c>
      <c r="D79" t="s">
        <v>18</v>
      </c>
      <c r="E79">
        <v>6</v>
      </c>
      <c r="F79">
        <v>6</v>
      </c>
      <c r="G79">
        <v>30</v>
      </c>
      <c r="H79">
        <v>8</v>
      </c>
      <c r="I79" t="s">
        <v>19</v>
      </c>
      <c r="J79" t="s">
        <v>20</v>
      </c>
      <c r="K79">
        <v>72</v>
      </c>
      <c r="L79">
        <v>5000</v>
      </c>
      <c r="M79" t="s">
        <v>17</v>
      </c>
    </row>
    <row r="80" spans="1:13">
      <c r="A80">
        <v>79</v>
      </c>
      <c r="B80" t="s">
        <v>13</v>
      </c>
      <c r="C80">
        <v>33</v>
      </c>
      <c r="D80" t="s">
        <v>18</v>
      </c>
      <c r="E80">
        <v>6</v>
      </c>
      <c r="F80">
        <v>6</v>
      </c>
      <c r="G80">
        <v>30</v>
      </c>
      <c r="H80">
        <v>8</v>
      </c>
      <c r="I80" t="s">
        <v>19</v>
      </c>
      <c r="J80" t="s">
        <v>20</v>
      </c>
      <c r="K80">
        <v>72</v>
      </c>
      <c r="L80">
        <v>5000</v>
      </c>
      <c r="M80" t="s">
        <v>17</v>
      </c>
    </row>
    <row r="81" spans="1:13">
      <c r="A81">
        <v>80</v>
      </c>
      <c r="B81" t="s">
        <v>13</v>
      </c>
      <c r="C81">
        <v>33</v>
      </c>
      <c r="D81" t="s">
        <v>18</v>
      </c>
      <c r="E81">
        <v>6</v>
      </c>
      <c r="F81">
        <v>6</v>
      </c>
      <c r="G81">
        <v>30</v>
      </c>
      <c r="H81">
        <v>8</v>
      </c>
      <c r="I81" t="s">
        <v>19</v>
      </c>
      <c r="J81" t="s">
        <v>20</v>
      </c>
      <c r="K81">
        <v>72</v>
      </c>
      <c r="L81">
        <v>5000</v>
      </c>
      <c r="M81" t="s">
        <v>17</v>
      </c>
    </row>
    <row r="82" spans="1:13">
      <c r="A82">
        <v>81</v>
      </c>
      <c r="B82" t="s">
        <v>28</v>
      </c>
      <c r="C82">
        <v>34</v>
      </c>
      <c r="D82" t="s">
        <v>36</v>
      </c>
      <c r="E82">
        <v>5.8</v>
      </c>
      <c r="F82">
        <v>4</v>
      </c>
      <c r="G82">
        <v>32</v>
      </c>
      <c r="H82">
        <v>8</v>
      </c>
      <c r="I82" t="s">
        <v>15</v>
      </c>
      <c r="J82" t="s">
        <v>38</v>
      </c>
      <c r="K82">
        <v>81</v>
      </c>
      <c r="L82">
        <v>5200</v>
      </c>
      <c r="M82" t="s">
        <v>24</v>
      </c>
    </row>
    <row r="83" spans="1:13">
      <c r="A83">
        <v>82</v>
      </c>
      <c r="B83" t="s">
        <v>28</v>
      </c>
      <c r="C83">
        <v>34</v>
      </c>
      <c r="D83" t="s">
        <v>36</v>
      </c>
      <c r="E83">
        <v>5.8</v>
      </c>
      <c r="F83">
        <v>4</v>
      </c>
      <c r="G83">
        <v>32</v>
      </c>
      <c r="H83">
        <v>8</v>
      </c>
      <c r="I83" t="s">
        <v>15</v>
      </c>
      <c r="J83" t="s">
        <v>38</v>
      </c>
      <c r="K83">
        <v>81</v>
      </c>
      <c r="L83">
        <v>5200</v>
      </c>
      <c r="M83" t="s">
        <v>24</v>
      </c>
    </row>
    <row r="84" spans="1:13">
      <c r="A84">
        <v>83</v>
      </c>
      <c r="B84" t="s">
        <v>13</v>
      </c>
      <c r="C84">
        <v>35</v>
      </c>
      <c r="D84" t="s">
        <v>26</v>
      </c>
      <c r="E84">
        <v>6.7</v>
      </c>
      <c r="F84">
        <v>7</v>
      </c>
      <c r="G84">
        <v>40</v>
      </c>
      <c r="H84">
        <v>5</v>
      </c>
      <c r="I84" t="s">
        <v>15</v>
      </c>
      <c r="J84" t="s">
        <v>39</v>
      </c>
      <c r="K84">
        <v>70</v>
      </c>
      <c r="L84">
        <v>5600</v>
      </c>
      <c r="M84" t="s">
        <v>17</v>
      </c>
    </row>
    <row r="85" spans="1:13">
      <c r="A85">
        <v>84</v>
      </c>
      <c r="B85" t="s">
        <v>13</v>
      </c>
      <c r="C85">
        <v>35</v>
      </c>
      <c r="D85" t="s">
        <v>26</v>
      </c>
      <c r="E85">
        <v>6.7</v>
      </c>
      <c r="F85">
        <v>7</v>
      </c>
      <c r="G85">
        <v>40</v>
      </c>
      <c r="H85">
        <v>5</v>
      </c>
      <c r="I85" t="s">
        <v>15</v>
      </c>
      <c r="J85" t="s">
        <v>39</v>
      </c>
      <c r="K85">
        <v>70</v>
      </c>
      <c r="L85">
        <v>5600</v>
      </c>
      <c r="M85" t="s">
        <v>17</v>
      </c>
    </row>
    <row r="86" spans="1:13">
      <c r="A86">
        <v>85</v>
      </c>
      <c r="B86" t="s">
        <v>13</v>
      </c>
      <c r="C86">
        <v>35</v>
      </c>
      <c r="D86" t="s">
        <v>14</v>
      </c>
      <c r="E86">
        <v>7.5</v>
      </c>
      <c r="F86">
        <v>8</v>
      </c>
      <c r="G86">
        <v>60</v>
      </c>
      <c r="H86">
        <v>5</v>
      </c>
      <c r="I86" t="s">
        <v>19</v>
      </c>
      <c r="J86" t="s">
        <v>27</v>
      </c>
      <c r="K86">
        <v>70</v>
      </c>
      <c r="L86">
        <v>8000</v>
      </c>
      <c r="M86" t="s">
        <v>17</v>
      </c>
    </row>
    <row r="87" spans="1:13">
      <c r="A87">
        <v>86</v>
      </c>
      <c r="B87" t="s">
        <v>28</v>
      </c>
      <c r="C87">
        <v>35</v>
      </c>
      <c r="D87" t="s">
        <v>34</v>
      </c>
      <c r="E87">
        <v>7.2</v>
      </c>
      <c r="F87">
        <v>8</v>
      </c>
      <c r="G87">
        <v>60</v>
      </c>
      <c r="H87">
        <v>4</v>
      </c>
      <c r="I87" t="s">
        <v>19</v>
      </c>
      <c r="J87" t="s">
        <v>40</v>
      </c>
      <c r="K87">
        <v>68</v>
      </c>
      <c r="L87">
        <v>7000</v>
      </c>
      <c r="M87" t="s">
        <v>17</v>
      </c>
    </row>
    <row r="88" spans="1:13">
      <c r="A88">
        <v>87</v>
      </c>
      <c r="B88" t="s">
        <v>13</v>
      </c>
      <c r="C88">
        <v>35</v>
      </c>
      <c r="D88" t="s">
        <v>33</v>
      </c>
      <c r="E88">
        <v>7.2</v>
      </c>
      <c r="F88">
        <v>8</v>
      </c>
      <c r="G88">
        <v>60</v>
      </c>
      <c r="H88">
        <v>4</v>
      </c>
      <c r="I88" t="s">
        <v>19</v>
      </c>
      <c r="J88" t="s">
        <v>20</v>
      </c>
      <c r="K88">
        <v>65</v>
      </c>
      <c r="L88">
        <v>5000</v>
      </c>
      <c r="M88" t="s">
        <v>17</v>
      </c>
    </row>
    <row r="89" spans="1:13">
      <c r="A89">
        <v>88</v>
      </c>
      <c r="B89" t="s">
        <v>13</v>
      </c>
      <c r="C89">
        <v>35</v>
      </c>
      <c r="D89" t="s">
        <v>33</v>
      </c>
      <c r="E89">
        <v>7.2</v>
      </c>
      <c r="F89">
        <v>8</v>
      </c>
      <c r="G89">
        <v>60</v>
      </c>
      <c r="H89">
        <v>4</v>
      </c>
      <c r="I89" t="s">
        <v>19</v>
      </c>
      <c r="J89" t="s">
        <v>20</v>
      </c>
      <c r="K89">
        <v>65</v>
      </c>
      <c r="L89">
        <v>5000</v>
      </c>
      <c r="M89" t="s">
        <v>17</v>
      </c>
    </row>
    <row r="90" spans="1:13">
      <c r="A90">
        <v>89</v>
      </c>
      <c r="B90" t="s">
        <v>13</v>
      </c>
      <c r="C90">
        <v>35</v>
      </c>
      <c r="D90" t="s">
        <v>33</v>
      </c>
      <c r="E90">
        <v>7.3</v>
      </c>
      <c r="F90">
        <v>8</v>
      </c>
      <c r="G90">
        <v>60</v>
      </c>
      <c r="H90">
        <v>4</v>
      </c>
      <c r="I90" t="s">
        <v>19</v>
      </c>
      <c r="J90" t="s">
        <v>20</v>
      </c>
      <c r="K90">
        <v>65</v>
      </c>
      <c r="L90">
        <v>5000</v>
      </c>
      <c r="M90" t="s">
        <v>17</v>
      </c>
    </row>
    <row r="91" spans="1:13">
      <c r="A91">
        <v>90</v>
      </c>
      <c r="B91" t="s">
        <v>13</v>
      </c>
      <c r="C91">
        <v>35</v>
      </c>
      <c r="D91" t="s">
        <v>33</v>
      </c>
      <c r="E91">
        <v>7.3</v>
      </c>
      <c r="F91">
        <v>8</v>
      </c>
      <c r="G91">
        <v>60</v>
      </c>
      <c r="H91">
        <v>4</v>
      </c>
      <c r="I91" t="s">
        <v>19</v>
      </c>
      <c r="J91" t="s">
        <v>20</v>
      </c>
      <c r="K91">
        <v>65</v>
      </c>
      <c r="L91">
        <v>5000</v>
      </c>
      <c r="M91" t="s">
        <v>17</v>
      </c>
    </row>
    <row r="92" spans="1:13">
      <c r="A92">
        <v>91</v>
      </c>
      <c r="B92" t="s">
        <v>13</v>
      </c>
      <c r="C92">
        <v>35</v>
      </c>
      <c r="D92" t="s">
        <v>33</v>
      </c>
      <c r="E92">
        <v>7.3</v>
      </c>
      <c r="F92">
        <v>8</v>
      </c>
      <c r="G92">
        <v>60</v>
      </c>
      <c r="H92">
        <v>4</v>
      </c>
      <c r="I92" t="s">
        <v>19</v>
      </c>
      <c r="J92" t="s">
        <v>20</v>
      </c>
      <c r="K92">
        <v>65</v>
      </c>
      <c r="L92">
        <v>5000</v>
      </c>
      <c r="M92" t="s">
        <v>17</v>
      </c>
    </row>
    <row r="93" spans="1:13">
      <c r="A93">
        <v>92</v>
      </c>
      <c r="B93" t="s">
        <v>13</v>
      </c>
      <c r="C93">
        <v>35</v>
      </c>
      <c r="D93" t="s">
        <v>33</v>
      </c>
      <c r="E93">
        <v>7.3</v>
      </c>
      <c r="F93">
        <v>8</v>
      </c>
      <c r="G93">
        <v>60</v>
      </c>
      <c r="H93">
        <v>4</v>
      </c>
      <c r="I93" t="s">
        <v>19</v>
      </c>
      <c r="J93" t="s">
        <v>20</v>
      </c>
      <c r="K93">
        <v>65</v>
      </c>
      <c r="L93">
        <v>5000</v>
      </c>
      <c r="M93" t="s">
        <v>17</v>
      </c>
    </row>
    <row r="94" spans="1:13">
      <c r="A94">
        <v>93</v>
      </c>
      <c r="B94" t="s">
        <v>13</v>
      </c>
      <c r="C94">
        <v>35</v>
      </c>
      <c r="D94" t="s">
        <v>14</v>
      </c>
      <c r="E94">
        <v>7.5</v>
      </c>
      <c r="F94">
        <v>8</v>
      </c>
      <c r="G94">
        <v>60</v>
      </c>
      <c r="H94">
        <v>5</v>
      </c>
      <c r="I94" t="s">
        <v>19</v>
      </c>
      <c r="J94" t="s">
        <v>27</v>
      </c>
      <c r="K94">
        <v>70</v>
      </c>
      <c r="L94">
        <v>8000</v>
      </c>
      <c r="M94" t="s">
        <v>17</v>
      </c>
    </row>
    <row r="95" spans="1:13">
      <c r="A95">
        <v>94</v>
      </c>
      <c r="B95" t="s">
        <v>13</v>
      </c>
      <c r="C95">
        <v>35</v>
      </c>
      <c r="D95" t="s">
        <v>41</v>
      </c>
      <c r="E95">
        <v>7.4</v>
      </c>
      <c r="F95">
        <v>7</v>
      </c>
      <c r="G95">
        <v>60</v>
      </c>
      <c r="H95">
        <v>5</v>
      </c>
      <c r="I95" t="s">
        <v>22</v>
      </c>
      <c r="J95" t="s">
        <v>42</v>
      </c>
      <c r="K95">
        <v>84</v>
      </c>
      <c r="L95">
        <v>3300</v>
      </c>
      <c r="M95" t="s">
        <v>24</v>
      </c>
    </row>
    <row r="96" spans="1:13">
      <c r="A96">
        <v>95</v>
      </c>
      <c r="B96" t="s">
        <v>28</v>
      </c>
      <c r="C96">
        <v>36</v>
      </c>
      <c r="D96" t="s">
        <v>34</v>
      </c>
      <c r="E96">
        <v>7.2</v>
      </c>
      <c r="F96">
        <v>8</v>
      </c>
      <c r="G96">
        <v>60</v>
      </c>
      <c r="H96">
        <v>4</v>
      </c>
      <c r="I96" t="s">
        <v>19</v>
      </c>
      <c r="J96" t="s">
        <v>40</v>
      </c>
      <c r="K96">
        <v>68</v>
      </c>
      <c r="L96">
        <v>7000</v>
      </c>
      <c r="M96" t="s">
        <v>25</v>
      </c>
    </row>
    <row r="97" spans="1:13">
      <c r="A97">
        <v>96</v>
      </c>
      <c r="B97" t="s">
        <v>28</v>
      </c>
      <c r="C97">
        <v>36</v>
      </c>
      <c r="D97" t="s">
        <v>34</v>
      </c>
      <c r="E97">
        <v>7.1</v>
      </c>
      <c r="F97">
        <v>8</v>
      </c>
      <c r="G97">
        <v>60</v>
      </c>
      <c r="H97">
        <v>4</v>
      </c>
      <c r="I97" t="s">
        <v>19</v>
      </c>
      <c r="J97" t="s">
        <v>40</v>
      </c>
      <c r="K97">
        <v>68</v>
      </c>
      <c r="L97">
        <v>7000</v>
      </c>
      <c r="M97" t="s">
        <v>17</v>
      </c>
    </row>
    <row r="98" spans="1:13">
      <c r="A98">
        <v>97</v>
      </c>
      <c r="B98" t="s">
        <v>28</v>
      </c>
      <c r="C98">
        <v>36</v>
      </c>
      <c r="D98" t="s">
        <v>34</v>
      </c>
      <c r="E98">
        <v>7.2</v>
      </c>
      <c r="F98">
        <v>8</v>
      </c>
      <c r="G98">
        <v>60</v>
      </c>
      <c r="H98">
        <v>4</v>
      </c>
      <c r="I98" t="s">
        <v>19</v>
      </c>
      <c r="J98" t="s">
        <v>40</v>
      </c>
      <c r="K98">
        <v>68</v>
      </c>
      <c r="L98">
        <v>7000</v>
      </c>
      <c r="M98" t="s">
        <v>17</v>
      </c>
    </row>
    <row r="99" spans="1:13">
      <c r="A99">
        <v>98</v>
      </c>
      <c r="B99" t="s">
        <v>28</v>
      </c>
      <c r="C99">
        <v>36</v>
      </c>
      <c r="D99" t="s">
        <v>34</v>
      </c>
      <c r="E99">
        <v>7.1</v>
      </c>
      <c r="F99">
        <v>8</v>
      </c>
      <c r="G99">
        <v>60</v>
      </c>
      <c r="H99">
        <v>4</v>
      </c>
      <c r="I99" t="s">
        <v>19</v>
      </c>
      <c r="J99" t="s">
        <v>40</v>
      </c>
      <c r="K99">
        <v>68</v>
      </c>
      <c r="L99">
        <v>7000</v>
      </c>
      <c r="M99" t="s">
        <v>17</v>
      </c>
    </row>
    <row r="100" spans="1:13">
      <c r="A100">
        <v>99</v>
      </c>
      <c r="B100" t="s">
        <v>28</v>
      </c>
      <c r="C100">
        <v>36</v>
      </c>
      <c r="D100" t="s">
        <v>26</v>
      </c>
      <c r="E100">
        <v>7.1</v>
      </c>
      <c r="F100">
        <v>8</v>
      </c>
      <c r="G100">
        <v>60</v>
      </c>
      <c r="H100">
        <v>4</v>
      </c>
      <c r="I100" t="s">
        <v>19</v>
      </c>
      <c r="J100" t="s">
        <v>40</v>
      </c>
      <c r="K100">
        <v>68</v>
      </c>
      <c r="L100">
        <v>7000</v>
      </c>
      <c r="M100" t="s">
        <v>17</v>
      </c>
    </row>
    <row r="101" spans="1:13">
      <c r="A101">
        <v>100</v>
      </c>
      <c r="B101" t="s">
        <v>28</v>
      </c>
      <c r="C101">
        <v>36</v>
      </c>
      <c r="D101" t="s">
        <v>26</v>
      </c>
      <c r="E101">
        <v>7.1</v>
      </c>
      <c r="F101">
        <v>8</v>
      </c>
      <c r="G101">
        <v>60</v>
      </c>
      <c r="H101">
        <v>4</v>
      </c>
      <c r="I101" t="s">
        <v>19</v>
      </c>
      <c r="J101" t="s">
        <v>40</v>
      </c>
      <c r="K101">
        <v>68</v>
      </c>
      <c r="L101">
        <v>7000</v>
      </c>
      <c r="M101" t="s">
        <v>17</v>
      </c>
    </row>
    <row r="102" spans="1:13">
      <c r="A102">
        <v>101</v>
      </c>
      <c r="B102" t="s">
        <v>28</v>
      </c>
      <c r="C102">
        <v>36</v>
      </c>
      <c r="D102" t="s">
        <v>26</v>
      </c>
      <c r="E102">
        <v>7.2</v>
      </c>
      <c r="F102">
        <v>8</v>
      </c>
      <c r="G102">
        <v>60</v>
      </c>
      <c r="H102">
        <v>4</v>
      </c>
      <c r="I102" t="s">
        <v>19</v>
      </c>
      <c r="J102" t="s">
        <v>40</v>
      </c>
      <c r="K102">
        <v>68</v>
      </c>
      <c r="L102">
        <v>7000</v>
      </c>
      <c r="M102" t="s">
        <v>17</v>
      </c>
    </row>
    <row r="103" spans="1:13">
      <c r="A103">
        <v>102</v>
      </c>
      <c r="B103" t="s">
        <v>28</v>
      </c>
      <c r="C103">
        <v>36</v>
      </c>
      <c r="D103" t="s">
        <v>26</v>
      </c>
      <c r="E103">
        <v>7.2</v>
      </c>
      <c r="F103">
        <v>8</v>
      </c>
      <c r="G103">
        <v>60</v>
      </c>
      <c r="H103">
        <v>4</v>
      </c>
      <c r="I103" t="s">
        <v>19</v>
      </c>
      <c r="J103" t="s">
        <v>40</v>
      </c>
      <c r="K103">
        <v>68</v>
      </c>
      <c r="L103">
        <v>7000</v>
      </c>
      <c r="M103" t="s">
        <v>17</v>
      </c>
    </row>
    <row r="104" spans="1:13">
      <c r="A104">
        <v>103</v>
      </c>
      <c r="B104" t="s">
        <v>28</v>
      </c>
      <c r="C104">
        <v>36</v>
      </c>
      <c r="D104" t="s">
        <v>26</v>
      </c>
      <c r="E104">
        <v>7.2</v>
      </c>
      <c r="F104">
        <v>8</v>
      </c>
      <c r="G104">
        <v>60</v>
      </c>
      <c r="H104">
        <v>4</v>
      </c>
      <c r="I104" t="s">
        <v>19</v>
      </c>
      <c r="J104" t="s">
        <v>40</v>
      </c>
      <c r="K104">
        <v>68</v>
      </c>
      <c r="L104">
        <v>7000</v>
      </c>
      <c r="M104" t="s">
        <v>17</v>
      </c>
    </row>
    <row r="105" spans="1:13">
      <c r="A105">
        <v>104</v>
      </c>
      <c r="B105" t="s">
        <v>13</v>
      </c>
      <c r="C105">
        <v>36</v>
      </c>
      <c r="D105" t="s">
        <v>26</v>
      </c>
      <c r="E105">
        <v>6.6</v>
      </c>
      <c r="F105">
        <v>5</v>
      </c>
      <c r="G105">
        <v>35</v>
      </c>
      <c r="H105">
        <v>7</v>
      </c>
      <c r="I105" t="s">
        <v>15</v>
      </c>
      <c r="J105" t="s">
        <v>43</v>
      </c>
      <c r="K105">
        <v>74</v>
      </c>
      <c r="L105">
        <v>4800</v>
      </c>
      <c r="M105" t="s">
        <v>24</v>
      </c>
    </row>
    <row r="106" spans="1:13">
      <c r="A106">
        <v>105</v>
      </c>
      <c r="B106" t="s">
        <v>28</v>
      </c>
      <c r="C106">
        <v>36</v>
      </c>
      <c r="D106" t="s">
        <v>26</v>
      </c>
      <c r="E106">
        <v>7.2</v>
      </c>
      <c r="F106">
        <v>8</v>
      </c>
      <c r="G106">
        <v>60</v>
      </c>
      <c r="H106">
        <v>4</v>
      </c>
      <c r="I106" t="s">
        <v>19</v>
      </c>
      <c r="J106" t="s">
        <v>40</v>
      </c>
      <c r="K106">
        <v>68</v>
      </c>
      <c r="L106">
        <v>7000</v>
      </c>
      <c r="M106" t="s">
        <v>24</v>
      </c>
    </row>
    <row r="107" spans="1:13">
      <c r="A107">
        <v>106</v>
      </c>
      <c r="B107" t="s">
        <v>13</v>
      </c>
      <c r="C107">
        <v>36</v>
      </c>
      <c r="D107" t="s">
        <v>26</v>
      </c>
      <c r="E107">
        <v>6.6</v>
      </c>
      <c r="F107">
        <v>5</v>
      </c>
      <c r="G107">
        <v>35</v>
      </c>
      <c r="H107">
        <v>7</v>
      </c>
      <c r="I107" t="s">
        <v>15</v>
      </c>
      <c r="J107" t="s">
        <v>43</v>
      </c>
      <c r="K107">
        <v>74</v>
      </c>
      <c r="L107">
        <v>4800</v>
      </c>
      <c r="M107" t="s">
        <v>25</v>
      </c>
    </row>
    <row r="108" spans="1:13">
      <c r="A108">
        <v>107</v>
      </c>
      <c r="B108" t="s">
        <v>28</v>
      </c>
      <c r="C108">
        <v>37</v>
      </c>
      <c r="D108" t="s">
        <v>29</v>
      </c>
      <c r="E108">
        <v>6.1</v>
      </c>
      <c r="F108">
        <v>6</v>
      </c>
      <c r="G108">
        <v>42</v>
      </c>
      <c r="H108">
        <v>6</v>
      </c>
      <c r="I108" t="s">
        <v>15</v>
      </c>
      <c r="J108" t="s">
        <v>16</v>
      </c>
      <c r="K108">
        <v>77</v>
      </c>
      <c r="L108">
        <v>4200</v>
      </c>
      <c r="M108" t="s">
        <v>17</v>
      </c>
    </row>
    <row r="109" spans="1:13">
      <c r="A109">
        <v>108</v>
      </c>
      <c r="B109" t="s">
        <v>13</v>
      </c>
      <c r="C109">
        <v>37</v>
      </c>
      <c r="D109" t="s">
        <v>33</v>
      </c>
      <c r="E109">
        <v>7.8</v>
      </c>
      <c r="F109">
        <v>8</v>
      </c>
      <c r="G109">
        <v>70</v>
      </c>
      <c r="H109">
        <v>4</v>
      </c>
      <c r="I109" t="s">
        <v>19</v>
      </c>
      <c r="J109" t="s">
        <v>27</v>
      </c>
      <c r="K109">
        <v>68</v>
      </c>
      <c r="L109">
        <v>7000</v>
      </c>
      <c r="M109" t="s">
        <v>17</v>
      </c>
    </row>
    <row r="110" spans="1:13">
      <c r="A110">
        <v>109</v>
      </c>
      <c r="B110" t="s">
        <v>13</v>
      </c>
      <c r="C110">
        <v>37</v>
      </c>
      <c r="D110" t="s">
        <v>33</v>
      </c>
      <c r="E110">
        <v>7.8</v>
      </c>
      <c r="F110">
        <v>8</v>
      </c>
      <c r="G110">
        <v>70</v>
      </c>
      <c r="H110">
        <v>4</v>
      </c>
      <c r="I110" t="s">
        <v>19</v>
      </c>
      <c r="J110" t="s">
        <v>27</v>
      </c>
      <c r="K110">
        <v>68</v>
      </c>
      <c r="L110">
        <v>7000</v>
      </c>
      <c r="M110" t="s">
        <v>17</v>
      </c>
    </row>
    <row r="111" spans="1:13">
      <c r="A111">
        <v>110</v>
      </c>
      <c r="B111" t="s">
        <v>13</v>
      </c>
      <c r="C111">
        <v>37</v>
      </c>
      <c r="D111" t="s">
        <v>41</v>
      </c>
      <c r="E111">
        <v>7.4</v>
      </c>
      <c r="F111">
        <v>8</v>
      </c>
      <c r="G111">
        <v>60</v>
      </c>
      <c r="H111">
        <v>5</v>
      </c>
      <c r="I111" t="s">
        <v>19</v>
      </c>
      <c r="J111" t="s">
        <v>44</v>
      </c>
      <c r="K111">
        <v>68</v>
      </c>
      <c r="L111">
        <v>8000</v>
      </c>
      <c r="M111" t="s">
        <v>17</v>
      </c>
    </row>
    <row r="112" spans="1:13">
      <c r="A112">
        <v>111</v>
      </c>
      <c r="B112" t="s">
        <v>28</v>
      </c>
      <c r="C112">
        <v>37</v>
      </c>
      <c r="D112" t="s">
        <v>34</v>
      </c>
      <c r="E112">
        <v>7.2</v>
      </c>
      <c r="F112">
        <v>8</v>
      </c>
      <c r="G112">
        <v>60</v>
      </c>
      <c r="H112">
        <v>4</v>
      </c>
      <c r="I112" t="s">
        <v>19</v>
      </c>
      <c r="J112" t="s">
        <v>40</v>
      </c>
      <c r="K112">
        <v>68</v>
      </c>
      <c r="L112">
        <v>7000</v>
      </c>
      <c r="M112" t="s">
        <v>17</v>
      </c>
    </row>
    <row r="113" spans="1:13">
      <c r="A113">
        <v>112</v>
      </c>
      <c r="B113" t="s">
        <v>13</v>
      </c>
      <c r="C113">
        <v>37</v>
      </c>
      <c r="D113" t="s">
        <v>41</v>
      </c>
      <c r="E113">
        <v>7.4</v>
      </c>
      <c r="F113">
        <v>8</v>
      </c>
      <c r="G113">
        <v>60</v>
      </c>
      <c r="H113">
        <v>5</v>
      </c>
      <c r="I113" t="s">
        <v>19</v>
      </c>
      <c r="J113" t="s">
        <v>44</v>
      </c>
      <c r="K113">
        <v>68</v>
      </c>
      <c r="L113">
        <v>8000</v>
      </c>
      <c r="M113" t="s">
        <v>17</v>
      </c>
    </row>
    <row r="114" spans="1:13">
      <c r="A114">
        <v>113</v>
      </c>
      <c r="B114" t="s">
        <v>28</v>
      </c>
      <c r="C114">
        <v>37</v>
      </c>
      <c r="D114" t="s">
        <v>34</v>
      </c>
      <c r="E114">
        <v>7.2</v>
      </c>
      <c r="F114">
        <v>8</v>
      </c>
      <c r="G114">
        <v>60</v>
      </c>
      <c r="H114">
        <v>4</v>
      </c>
      <c r="I114" t="s">
        <v>19</v>
      </c>
      <c r="J114" t="s">
        <v>40</v>
      </c>
      <c r="K114">
        <v>68</v>
      </c>
      <c r="L114">
        <v>7000</v>
      </c>
      <c r="M114" t="s">
        <v>17</v>
      </c>
    </row>
    <row r="115" spans="1:13">
      <c r="A115">
        <v>114</v>
      </c>
      <c r="B115" t="s">
        <v>13</v>
      </c>
      <c r="C115">
        <v>37</v>
      </c>
      <c r="D115" t="s">
        <v>41</v>
      </c>
      <c r="E115">
        <v>7.4</v>
      </c>
      <c r="F115">
        <v>8</v>
      </c>
      <c r="G115">
        <v>60</v>
      </c>
      <c r="H115">
        <v>5</v>
      </c>
      <c r="I115" t="s">
        <v>19</v>
      </c>
      <c r="J115" t="s">
        <v>44</v>
      </c>
      <c r="K115">
        <v>68</v>
      </c>
      <c r="L115">
        <v>8000</v>
      </c>
      <c r="M115" t="s">
        <v>17</v>
      </c>
    </row>
    <row r="116" spans="1:13">
      <c r="A116">
        <v>115</v>
      </c>
      <c r="B116" t="s">
        <v>28</v>
      </c>
      <c r="C116">
        <v>37</v>
      </c>
      <c r="D116" t="s">
        <v>34</v>
      </c>
      <c r="E116">
        <v>7.2</v>
      </c>
      <c r="F116">
        <v>8</v>
      </c>
      <c r="G116">
        <v>60</v>
      </c>
      <c r="H116">
        <v>4</v>
      </c>
      <c r="I116" t="s">
        <v>19</v>
      </c>
      <c r="J116" t="s">
        <v>40</v>
      </c>
      <c r="K116">
        <v>68</v>
      </c>
      <c r="L116">
        <v>7000</v>
      </c>
      <c r="M116" t="s">
        <v>17</v>
      </c>
    </row>
    <row r="117" spans="1:13">
      <c r="A117">
        <v>116</v>
      </c>
      <c r="B117" t="s">
        <v>28</v>
      </c>
      <c r="C117">
        <v>37</v>
      </c>
      <c r="D117" t="s">
        <v>34</v>
      </c>
      <c r="E117">
        <v>7.2</v>
      </c>
      <c r="F117">
        <v>8</v>
      </c>
      <c r="G117">
        <v>60</v>
      </c>
      <c r="H117">
        <v>4</v>
      </c>
      <c r="I117" t="s">
        <v>19</v>
      </c>
      <c r="J117" t="s">
        <v>40</v>
      </c>
      <c r="K117">
        <v>68</v>
      </c>
      <c r="L117">
        <v>7000</v>
      </c>
      <c r="M117" t="s">
        <v>17</v>
      </c>
    </row>
    <row r="118" spans="1:13">
      <c r="A118">
        <v>117</v>
      </c>
      <c r="B118" t="s">
        <v>28</v>
      </c>
      <c r="C118">
        <v>37</v>
      </c>
      <c r="D118" t="s">
        <v>34</v>
      </c>
      <c r="E118">
        <v>7.2</v>
      </c>
      <c r="F118">
        <v>8</v>
      </c>
      <c r="G118">
        <v>60</v>
      </c>
      <c r="H118">
        <v>4</v>
      </c>
      <c r="I118" t="s">
        <v>19</v>
      </c>
      <c r="J118" t="s">
        <v>40</v>
      </c>
      <c r="K118">
        <v>68</v>
      </c>
      <c r="L118">
        <v>7000</v>
      </c>
      <c r="M118" t="s">
        <v>17</v>
      </c>
    </row>
    <row r="119" spans="1:13">
      <c r="A119">
        <v>118</v>
      </c>
      <c r="B119" t="s">
        <v>28</v>
      </c>
      <c r="C119">
        <v>37</v>
      </c>
      <c r="D119" t="s">
        <v>34</v>
      </c>
      <c r="E119">
        <v>7.2</v>
      </c>
      <c r="F119">
        <v>8</v>
      </c>
      <c r="G119">
        <v>60</v>
      </c>
      <c r="H119">
        <v>4</v>
      </c>
      <c r="I119" t="s">
        <v>19</v>
      </c>
      <c r="J119" t="s">
        <v>40</v>
      </c>
      <c r="K119">
        <v>68</v>
      </c>
      <c r="L119">
        <v>7000</v>
      </c>
      <c r="M119" t="s">
        <v>17</v>
      </c>
    </row>
    <row r="120" spans="1:13">
      <c r="A120">
        <v>119</v>
      </c>
      <c r="B120" t="s">
        <v>28</v>
      </c>
      <c r="C120">
        <v>37</v>
      </c>
      <c r="D120" t="s">
        <v>34</v>
      </c>
      <c r="E120">
        <v>7.2</v>
      </c>
      <c r="F120">
        <v>8</v>
      </c>
      <c r="G120">
        <v>60</v>
      </c>
      <c r="H120">
        <v>4</v>
      </c>
      <c r="I120" t="s">
        <v>19</v>
      </c>
      <c r="J120" t="s">
        <v>40</v>
      </c>
      <c r="K120">
        <v>68</v>
      </c>
      <c r="L120">
        <v>7000</v>
      </c>
      <c r="M120" t="s">
        <v>17</v>
      </c>
    </row>
    <row r="121" spans="1:13">
      <c r="A121">
        <v>120</v>
      </c>
      <c r="B121" t="s">
        <v>28</v>
      </c>
      <c r="C121">
        <v>37</v>
      </c>
      <c r="D121" t="s">
        <v>34</v>
      </c>
      <c r="E121">
        <v>7.2</v>
      </c>
      <c r="F121">
        <v>8</v>
      </c>
      <c r="G121">
        <v>60</v>
      </c>
      <c r="H121">
        <v>4</v>
      </c>
      <c r="I121" t="s">
        <v>19</v>
      </c>
      <c r="J121" t="s">
        <v>40</v>
      </c>
      <c r="K121">
        <v>68</v>
      </c>
      <c r="L121">
        <v>7000</v>
      </c>
      <c r="M121" t="s">
        <v>17</v>
      </c>
    </row>
    <row r="122" spans="1:13">
      <c r="A122">
        <v>121</v>
      </c>
      <c r="B122" t="s">
        <v>28</v>
      </c>
      <c r="C122">
        <v>37</v>
      </c>
      <c r="D122" t="s">
        <v>34</v>
      </c>
      <c r="E122">
        <v>7.2</v>
      </c>
      <c r="F122">
        <v>8</v>
      </c>
      <c r="G122">
        <v>60</v>
      </c>
      <c r="H122">
        <v>4</v>
      </c>
      <c r="I122" t="s">
        <v>19</v>
      </c>
      <c r="J122" t="s">
        <v>40</v>
      </c>
      <c r="K122">
        <v>68</v>
      </c>
      <c r="L122">
        <v>7000</v>
      </c>
      <c r="M122" t="s">
        <v>17</v>
      </c>
    </row>
    <row r="123" spans="1:13">
      <c r="A123">
        <v>122</v>
      </c>
      <c r="B123" t="s">
        <v>28</v>
      </c>
      <c r="C123">
        <v>37</v>
      </c>
      <c r="D123" t="s">
        <v>34</v>
      </c>
      <c r="E123">
        <v>7.2</v>
      </c>
      <c r="F123">
        <v>8</v>
      </c>
      <c r="G123">
        <v>60</v>
      </c>
      <c r="H123">
        <v>4</v>
      </c>
      <c r="I123" t="s">
        <v>19</v>
      </c>
      <c r="J123" t="s">
        <v>40</v>
      </c>
      <c r="K123">
        <v>68</v>
      </c>
      <c r="L123">
        <v>7000</v>
      </c>
      <c r="M123" t="s">
        <v>17</v>
      </c>
    </row>
    <row r="124" spans="1:13">
      <c r="A124">
        <v>123</v>
      </c>
      <c r="B124" t="s">
        <v>28</v>
      </c>
      <c r="C124">
        <v>37</v>
      </c>
      <c r="D124" t="s">
        <v>34</v>
      </c>
      <c r="E124">
        <v>7.2</v>
      </c>
      <c r="F124">
        <v>8</v>
      </c>
      <c r="G124">
        <v>60</v>
      </c>
      <c r="H124">
        <v>4</v>
      </c>
      <c r="I124" t="s">
        <v>19</v>
      </c>
      <c r="J124" t="s">
        <v>40</v>
      </c>
      <c r="K124">
        <v>68</v>
      </c>
      <c r="L124">
        <v>7000</v>
      </c>
      <c r="M124" t="s">
        <v>17</v>
      </c>
    </row>
    <row r="125" spans="1:13">
      <c r="A125">
        <v>124</v>
      </c>
      <c r="B125" t="s">
        <v>28</v>
      </c>
      <c r="C125">
        <v>37</v>
      </c>
      <c r="D125" t="s">
        <v>34</v>
      </c>
      <c r="E125">
        <v>7.2</v>
      </c>
      <c r="F125">
        <v>8</v>
      </c>
      <c r="G125">
        <v>60</v>
      </c>
      <c r="H125">
        <v>4</v>
      </c>
      <c r="I125" t="s">
        <v>19</v>
      </c>
      <c r="J125" t="s">
        <v>40</v>
      </c>
      <c r="K125">
        <v>68</v>
      </c>
      <c r="L125">
        <v>7000</v>
      </c>
      <c r="M125" t="s">
        <v>17</v>
      </c>
    </row>
    <row r="126" spans="1:13">
      <c r="A126">
        <v>125</v>
      </c>
      <c r="B126" t="s">
        <v>28</v>
      </c>
      <c r="C126">
        <v>37</v>
      </c>
      <c r="D126" t="s">
        <v>34</v>
      </c>
      <c r="E126">
        <v>7.2</v>
      </c>
      <c r="F126">
        <v>8</v>
      </c>
      <c r="G126">
        <v>60</v>
      </c>
      <c r="H126">
        <v>4</v>
      </c>
      <c r="I126" t="s">
        <v>19</v>
      </c>
      <c r="J126" t="s">
        <v>40</v>
      </c>
      <c r="K126">
        <v>68</v>
      </c>
      <c r="L126">
        <v>7000</v>
      </c>
      <c r="M126" t="s">
        <v>17</v>
      </c>
    </row>
    <row r="127" spans="1:13">
      <c r="A127">
        <v>126</v>
      </c>
      <c r="B127" t="s">
        <v>28</v>
      </c>
      <c r="C127">
        <v>37</v>
      </c>
      <c r="D127" t="s">
        <v>29</v>
      </c>
      <c r="E127">
        <v>7.5</v>
      </c>
      <c r="F127">
        <v>8</v>
      </c>
      <c r="G127">
        <v>60</v>
      </c>
      <c r="H127">
        <v>4</v>
      </c>
      <c r="I127" t="s">
        <v>19</v>
      </c>
      <c r="J127" t="s">
        <v>27</v>
      </c>
      <c r="K127">
        <v>70</v>
      </c>
      <c r="L127">
        <v>8000</v>
      </c>
      <c r="M127" t="s">
        <v>17</v>
      </c>
    </row>
    <row r="128" spans="1:13">
      <c r="A128">
        <v>127</v>
      </c>
      <c r="B128" t="s">
        <v>13</v>
      </c>
      <c r="C128">
        <v>38</v>
      </c>
      <c r="D128" t="s">
        <v>41</v>
      </c>
      <c r="E128">
        <v>7.3</v>
      </c>
      <c r="F128">
        <v>8</v>
      </c>
      <c r="G128">
        <v>60</v>
      </c>
      <c r="H128">
        <v>5</v>
      </c>
      <c r="I128" t="s">
        <v>19</v>
      </c>
      <c r="J128" t="s">
        <v>44</v>
      </c>
      <c r="K128">
        <v>68</v>
      </c>
      <c r="L128">
        <v>8000</v>
      </c>
      <c r="M128" t="s">
        <v>17</v>
      </c>
    </row>
    <row r="129" spans="1:13">
      <c r="A129">
        <v>128</v>
      </c>
      <c r="B129" t="s">
        <v>28</v>
      </c>
      <c r="C129">
        <v>38</v>
      </c>
      <c r="D129" t="s">
        <v>34</v>
      </c>
      <c r="E129">
        <v>7.1</v>
      </c>
      <c r="F129">
        <v>8</v>
      </c>
      <c r="G129">
        <v>60</v>
      </c>
      <c r="H129">
        <v>4</v>
      </c>
      <c r="I129" t="s">
        <v>19</v>
      </c>
      <c r="J129" t="s">
        <v>40</v>
      </c>
      <c r="K129">
        <v>68</v>
      </c>
      <c r="L129">
        <v>7000</v>
      </c>
      <c r="M129" t="s">
        <v>17</v>
      </c>
    </row>
    <row r="130" spans="1:13">
      <c r="A130">
        <v>129</v>
      </c>
      <c r="B130" t="s">
        <v>13</v>
      </c>
      <c r="C130">
        <v>38</v>
      </c>
      <c r="D130" t="s">
        <v>41</v>
      </c>
      <c r="E130">
        <v>7.3</v>
      </c>
      <c r="F130">
        <v>8</v>
      </c>
      <c r="G130">
        <v>60</v>
      </c>
      <c r="H130">
        <v>5</v>
      </c>
      <c r="I130" t="s">
        <v>19</v>
      </c>
      <c r="J130" t="s">
        <v>44</v>
      </c>
      <c r="K130">
        <v>68</v>
      </c>
      <c r="L130">
        <v>8000</v>
      </c>
      <c r="M130" t="s">
        <v>17</v>
      </c>
    </row>
    <row r="131" spans="1:13">
      <c r="A131">
        <v>130</v>
      </c>
      <c r="B131" t="s">
        <v>13</v>
      </c>
      <c r="C131">
        <v>38</v>
      </c>
      <c r="D131" t="s">
        <v>41</v>
      </c>
      <c r="E131">
        <v>7.3</v>
      </c>
      <c r="F131">
        <v>8</v>
      </c>
      <c r="G131">
        <v>60</v>
      </c>
      <c r="H131">
        <v>5</v>
      </c>
      <c r="I131" t="s">
        <v>19</v>
      </c>
      <c r="J131" t="s">
        <v>44</v>
      </c>
      <c r="K131">
        <v>68</v>
      </c>
      <c r="L131">
        <v>8000</v>
      </c>
      <c r="M131" t="s">
        <v>17</v>
      </c>
    </row>
    <row r="132" spans="1:13">
      <c r="A132">
        <v>131</v>
      </c>
      <c r="B132" t="s">
        <v>28</v>
      </c>
      <c r="C132">
        <v>38</v>
      </c>
      <c r="D132" t="s">
        <v>34</v>
      </c>
      <c r="E132">
        <v>7.1</v>
      </c>
      <c r="F132">
        <v>8</v>
      </c>
      <c r="G132">
        <v>60</v>
      </c>
      <c r="H132">
        <v>4</v>
      </c>
      <c r="I132" t="s">
        <v>19</v>
      </c>
      <c r="J132" t="s">
        <v>40</v>
      </c>
      <c r="K132">
        <v>68</v>
      </c>
      <c r="L132">
        <v>7000</v>
      </c>
      <c r="M132" t="s">
        <v>17</v>
      </c>
    </row>
    <row r="133" spans="1:13">
      <c r="A133">
        <v>132</v>
      </c>
      <c r="B133" t="s">
        <v>13</v>
      </c>
      <c r="C133">
        <v>38</v>
      </c>
      <c r="D133" t="s">
        <v>41</v>
      </c>
      <c r="E133">
        <v>7.3</v>
      </c>
      <c r="F133">
        <v>8</v>
      </c>
      <c r="G133">
        <v>60</v>
      </c>
      <c r="H133">
        <v>5</v>
      </c>
      <c r="I133" t="s">
        <v>19</v>
      </c>
      <c r="J133" t="s">
        <v>44</v>
      </c>
      <c r="K133">
        <v>68</v>
      </c>
      <c r="L133">
        <v>8000</v>
      </c>
      <c r="M133" t="s">
        <v>17</v>
      </c>
    </row>
    <row r="134" spans="1:13">
      <c r="A134">
        <v>133</v>
      </c>
      <c r="B134" t="s">
        <v>13</v>
      </c>
      <c r="C134">
        <v>38</v>
      </c>
      <c r="D134" t="s">
        <v>41</v>
      </c>
      <c r="E134">
        <v>7.3</v>
      </c>
      <c r="F134">
        <v>8</v>
      </c>
      <c r="G134">
        <v>60</v>
      </c>
      <c r="H134">
        <v>5</v>
      </c>
      <c r="I134" t="s">
        <v>19</v>
      </c>
      <c r="J134" t="s">
        <v>44</v>
      </c>
      <c r="K134">
        <v>68</v>
      </c>
      <c r="L134">
        <v>8000</v>
      </c>
      <c r="M134" t="s">
        <v>17</v>
      </c>
    </row>
    <row r="135" spans="1:13">
      <c r="A135">
        <v>134</v>
      </c>
      <c r="B135" t="s">
        <v>28</v>
      </c>
      <c r="C135">
        <v>38</v>
      </c>
      <c r="D135" t="s">
        <v>34</v>
      </c>
      <c r="E135">
        <v>7.1</v>
      </c>
      <c r="F135">
        <v>8</v>
      </c>
      <c r="G135">
        <v>60</v>
      </c>
      <c r="H135">
        <v>4</v>
      </c>
      <c r="I135" t="s">
        <v>19</v>
      </c>
      <c r="J135" t="s">
        <v>40</v>
      </c>
      <c r="K135">
        <v>68</v>
      </c>
      <c r="L135">
        <v>7000</v>
      </c>
      <c r="M135" t="s">
        <v>17</v>
      </c>
    </row>
    <row r="136" spans="1:13">
      <c r="A136">
        <v>135</v>
      </c>
      <c r="B136" t="s">
        <v>13</v>
      </c>
      <c r="C136">
        <v>38</v>
      </c>
      <c r="D136" t="s">
        <v>41</v>
      </c>
      <c r="E136">
        <v>7.3</v>
      </c>
      <c r="F136">
        <v>8</v>
      </c>
      <c r="G136">
        <v>60</v>
      </c>
      <c r="H136">
        <v>5</v>
      </c>
      <c r="I136" t="s">
        <v>19</v>
      </c>
      <c r="J136" t="s">
        <v>44</v>
      </c>
      <c r="K136">
        <v>68</v>
      </c>
      <c r="L136">
        <v>8000</v>
      </c>
      <c r="M136" t="s">
        <v>17</v>
      </c>
    </row>
    <row r="137" spans="1:13">
      <c r="A137">
        <v>136</v>
      </c>
      <c r="B137" t="s">
        <v>13</v>
      </c>
      <c r="C137">
        <v>38</v>
      </c>
      <c r="D137" t="s">
        <v>41</v>
      </c>
      <c r="E137">
        <v>7.3</v>
      </c>
      <c r="F137">
        <v>8</v>
      </c>
      <c r="G137">
        <v>60</v>
      </c>
      <c r="H137">
        <v>5</v>
      </c>
      <c r="I137" t="s">
        <v>19</v>
      </c>
      <c r="J137" t="s">
        <v>44</v>
      </c>
      <c r="K137">
        <v>68</v>
      </c>
      <c r="L137">
        <v>8000</v>
      </c>
      <c r="M137" t="s">
        <v>17</v>
      </c>
    </row>
    <row r="138" spans="1:13">
      <c r="A138">
        <v>137</v>
      </c>
      <c r="B138" t="s">
        <v>28</v>
      </c>
      <c r="C138">
        <v>38</v>
      </c>
      <c r="D138" t="s">
        <v>34</v>
      </c>
      <c r="E138">
        <v>7.1</v>
      </c>
      <c r="F138">
        <v>8</v>
      </c>
      <c r="G138">
        <v>60</v>
      </c>
      <c r="H138">
        <v>4</v>
      </c>
      <c r="I138" t="s">
        <v>19</v>
      </c>
      <c r="J138" t="s">
        <v>40</v>
      </c>
      <c r="K138">
        <v>68</v>
      </c>
      <c r="L138">
        <v>7000</v>
      </c>
      <c r="M138" t="s">
        <v>17</v>
      </c>
    </row>
    <row r="139" spans="1:13">
      <c r="A139">
        <v>138</v>
      </c>
      <c r="B139" t="s">
        <v>13</v>
      </c>
      <c r="C139">
        <v>38</v>
      </c>
      <c r="D139" t="s">
        <v>41</v>
      </c>
      <c r="E139">
        <v>7.1</v>
      </c>
      <c r="F139">
        <v>8</v>
      </c>
      <c r="G139">
        <v>60</v>
      </c>
      <c r="H139">
        <v>5</v>
      </c>
      <c r="I139" t="s">
        <v>19</v>
      </c>
      <c r="J139" t="s">
        <v>44</v>
      </c>
      <c r="K139">
        <v>68</v>
      </c>
      <c r="L139">
        <v>8000</v>
      </c>
      <c r="M139" t="s">
        <v>17</v>
      </c>
    </row>
    <row r="140" spans="1:13">
      <c r="A140">
        <v>139</v>
      </c>
      <c r="B140" t="s">
        <v>28</v>
      </c>
      <c r="C140">
        <v>38</v>
      </c>
      <c r="D140" t="s">
        <v>34</v>
      </c>
      <c r="E140">
        <v>7.1</v>
      </c>
      <c r="F140">
        <v>8</v>
      </c>
      <c r="G140">
        <v>60</v>
      </c>
      <c r="H140">
        <v>4</v>
      </c>
      <c r="I140" t="s">
        <v>19</v>
      </c>
      <c r="J140" t="s">
        <v>40</v>
      </c>
      <c r="K140">
        <v>68</v>
      </c>
      <c r="L140">
        <v>7000</v>
      </c>
      <c r="M140" t="s">
        <v>17</v>
      </c>
    </row>
    <row r="141" spans="1:13">
      <c r="A141">
        <v>140</v>
      </c>
      <c r="B141" t="s">
        <v>13</v>
      </c>
      <c r="C141">
        <v>38</v>
      </c>
      <c r="D141" t="s">
        <v>41</v>
      </c>
      <c r="E141">
        <v>7.1</v>
      </c>
      <c r="F141">
        <v>8</v>
      </c>
      <c r="G141">
        <v>60</v>
      </c>
      <c r="H141">
        <v>5</v>
      </c>
      <c r="I141" t="s">
        <v>19</v>
      </c>
      <c r="J141" t="s">
        <v>44</v>
      </c>
      <c r="K141">
        <v>68</v>
      </c>
      <c r="L141">
        <v>8000</v>
      </c>
      <c r="M141" t="s">
        <v>17</v>
      </c>
    </row>
    <row r="142" spans="1:13">
      <c r="A142">
        <v>141</v>
      </c>
      <c r="B142" t="s">
        <v>28</v>
      </c>
      <c r="C142">
        <v>38</v>
      </c>
      <c r="D142" t="s">
        <v>34</v>
      </c>
      <c r="E142">
        <v>7.1</v>
      </c>
      <c r="F142">
        <v>8</v>
      </c>
      <c r="G142">
        <v>60</v>
      </c>
      <c r="H142">
        <v>4</v>
      </c>
      <c r="I142" t="s">
        <v>19</v>
      </c>
      <c r="J142" t="s">
        <v>40</v>
      </c>
      <c r="K142">
        <v>68</v>
      </c>
      <c r="L142">
        <v>7000</v>
      </c>
      <c r="M142" t="s">
        <v>17</v>
      </c>
    </row>
    <row r="143" spans="1:13">
      <c r="A143">
        <v>142</v>
      </c>
      <c r="B143" t="s">
        <v>13</v>
      </c>
      <c r="C143">
        <v>38</v>
      </c>
      <c r="D143" t="s">
        <v>41</v>
      </c>
      <c r="E143">
        <v>7.1</v>
      </c>
      <c r="F143">
        <v>8</v>
      </c>
      <c r="G143">
        <v>60</v>
      </c>
      <c r="H143">
        <v>5</v>
      </c>
      <c r="I143" t="s">
        <v>19</v>
      </c>
      <c r="J143" t="s">
        <v>44</v>
      </c>
      <c r="K143">
        <v>68</v>
      </c>
      <c r="L143">
        <v>8000</v>
      </c>
      <c r="M143" t="s">
        <v>17</v>
      </c>
    </row>
    <row r="144" spans="1:13">
      <c r="A144">
        <v>143</v>
      </c>
      <c r="B144" t="s">
        <v>28</v>
      </c>
      <c r="C144">
        <v>38</v>
      </c>
      <c r="D144" t="s">
        <v>34</v>
      </c>
      <c r="E144">
        <v>7.1</v>
      </c>
      <c r="F144">
        <v>8</v>
      </c>
      <c r="G144">
        <v>60</v>
      </c>
      <c r="H144">
        <v>4</v>
      </c>
      <c r="I144" t="s">
        <v>19</v>
      </c>
      <c r="J144" t="s">
        <v>40</v>
      </c>
      <c r="K144">
        <v>68</v>
      </c>
      <c r="L144">
        <v>7000</v>
      </c>
      <c r="M144" t="s">
        <v>17</v>
      </c>
    </row>
    <row r="145" spans="1:13">
      <c r="A145">
        <v>144</v>
      </c>
      <c r="B145" t="s">
        <v>28</v>
      </c>
      <c r="C145">
        <v>38</v>
      </c>
      <c r="D145" t="s">
        <v>34</v>
      </c>
      <c r="E145">
        <v>7.1</v>
      </c>
      <c r="F145">
        <v>8</v>
      </c>
      <c r="G145">
        <v>60</v>
      </c>
      <c r="H145">
        <v>4</v>
      </c>
      <c r="I145" t="s">
        <v>19</v>
      </c>
      <c r="J145" t="s">
        <v>40</v>
      </c>
      <c r="K145">
        <v>68</v>
      </c>
      <c r="L145">
        <v>7000</v>
      </c>
      <c r="M145" t="s">
        <v>17</v>
      </c>
    </row>
    <row r="146" spans="1:13">
      <c r="A146">
        <v>145</v>
      </c>
      <c r="B146" t="s">
        <v>13</v>
      </c>
      <c r="C146">
        <v>38</v>
      </c>
      <c r="D146" t="s">
        <v>41</v>
      </c>
      <c r="E146">
        <v>7.1</v>
      </c>
      <c r="F146">
        <v>8</v>
      </c>
      <c r="G146">
        <v>60</v>
      </c>
      <c r="H146">
        <v>5</v>
      </c>
      <c r="I146" t="s">
        <v>19</v>
      </c>
      <c r="J146" t="s">
        <v>44</v>
      </c>
      <c r="K146">
        <v>68</v>
      </c>
      <c r="L146">
        <v>8000</v>
      </c>
      <c r="M146" t="s">
        <v>24</v>
      </c>
    </row>
    <row r="147" spans="1:13">
      <c r="A147">
        <v>146</v>
      </c>
      <c r="B147" t="s">
        <v>28</v>
      </c>
      <c r="C147">
        <v>38</v>
      </c>
      <c r="D147" t="s">
        <v>41</v>
      </c>
      <c r="E147">
        <v>7.4</v>
      </c>
      <c r="F147">
        <v>7</v>
      </c>
      <c r="G147">
        <v>60</v>
      </c>
      <c r="H147">
        <v>5</v>
      </c>
      <c r="I147" t="s">
        <v>22</v>
      </c>
      <c r="J147" t="s">
        <v>42</v>
      </c>
      <c r="K147">
        <v>84</v>
      </c>
      <c r="L147">
        <v>3300</v>
      </c>
      <c r="M147" t="s">
        <v>24</v>
      </c>
    </row>
    <row r="148" spans="1:13">
      <c r="A148">
        <v>147</v>
      </c>
      <c r="B148" t="s">
        <v>13</v>
      </c>
      <c r="C148">
        <v>39</v>
      </c>
      <c r="D148" t="s">
        <v>41</v>
      </c>
      <c r="E148">
        <v>7.2</v>
      </c>
      <c r="F148">
        <v>8</v>
      </c>
      <c r="G148">
        <v>60</v>
      </c>
      <c r="H148">
        <v>5</v>
      </c>
      <c r="I148" t="s">
        <v>19</v>
      </c>
      <c r="J148" t="s">
        <v>44</v>
      </c>
      <c r="K148">
        <v>68</v>
      </c>
      <c r="L148">
        <v>8000</v>
      </c>
      <c r="M148" t="s">
        <v>25</v>
      </c>
    </row>
    <row r="149" spans="1:13">
      <c r="A149">
        <v>148</v>
      </c>
      <c r="B149" t="s">
        <v>13</v>
      </c>
      <c r="C149">
        <v>39</v>
      </c>
      <c r="D149" t="s">
        <v>33</v>
      </c>
      <c r="E149">
        <v>6.5</v>
      </c>
      <c r="F149">
        <v>5</v>
      </c>
      <c r="G149">
        <v>40</v>
      </c>
      <c r="H149">
        <v>7</v>
      </c>
      <c r="I149" t="s">
        <v>15</v>
      </c>
      <c r="J149" t="s">
        <v>30</v>
      </c>
      <c r="K149">
        <v>80</v>
      </c>
      <c r="L149">
        <v>4000</v>
      </c>
      <c r="M149" t="s">
        <v>25</v>
      </c>
    </row>
    <row r="150" spans="1:13">
      <c r="A150">
        <v>149</v>
      </c>
      <c r="B150" t="s">
        <v>28</v>
      </c>
      <c r="C150">
        <v>39</v>
      </c>
      <c r="D150" t="s">
        <v>41</v>
      </c>
      <c r="E150">
        <v>6.9</v>
      </c>
      <c r="F150">
        <v>7</v>
      </c>
      <c r="G150">
        <v>50</v>
      </c>
      <c r="H150">
        <v>6</v>
      </c>
      <c r="I150" t="s">
        <v>19</v>
      </c>
      <c r="J150" t="s">
        <v>37</v>
      </c>
      <c r="K150">
        <v>75</v>
      </c>
      <c r="L150">
        <v>5500</v>
      </c>
      <c r="M150" t="s">
        <v>17</v>
      </c>
    </row>
    <row r="151" spans="1:13">
      <c r="A151">
        <v>150</v>
      </c>
      <c r="B151" t="s">
        <v>28</v>
      </c>
      <c r="C151">
        <v>39</v>
      </c>
      <c r="D151" t="s">
        <v>34</v>
      </c>
      <c r="E151">
        <v>8</v>
      </c>
      <c r="F151">
        <v>9</v>
      </c>
      <c r="G151">
        <v>80</v>
      </c>
      <c r="H151">
        <v>3</v>
      </c>
      <c r="I151" t="s">
        <v>19</v>
      </c>
      <c r="J151" t="s">
        <v>45</v>
      </c>
      <c r="K151">
        <v>67</v>
      </c>
      <c r="L151">
        <v>7500</v>
      </c>
      <c r="M151" t="s">
        <v>17</v>
      </c>
    </row>
    <row r="152" spans="1:13">
      <c r="A152">
        <v>151</v>
      </c>
      <c r="B152" t="s">
        <v>28</v>
      </c>
      <c r="C152">
        <v>39</v>
      </c>
      <c r="D152" t="s">
        <v>34</v>
      </c>
      <c r="E152">
        <v>8</v>
      </c>
      <c r="F152">
        <v>9</v>
      </c>
      <c r="G152">
        <v>80</v>
      </c>
      <c r="H152">
        <v>3</v>
      </c>
      <c r="I152" t="s">
        <v>19</v>
      </c>
      <c r="J152" t="s">
        <v>45</v>
      </c>
      <c r="K152">
        <v>67</v>
      </c>
      <c r="L152">
        <v>7500</v>
      </c>
      <c r="M152" t="s">
        <v>17</v>
      </c>
    </row>
    <row r="153" spans="1:13">
      <c r="A153">
        <v>152</v>
      </c>
      <c r="B153" t="s">
        <v>13</v>
      </c>
      <c r="C153">
        <v>39</v>
      </c>
      <c r="D153" t="s">
        <v>41</v>
      </c>
      <c r="E153">
        <v>7.2</v>
      </c>
      <c r="F153">
        <v>8</v>
      </c>
      <c r="G153">
        <v>60</v>
      </c>
      <c r="H153">
        <v>5</v>
      </c>
      <c r="I153" t="s">
        <v>19</v>
      </c>
      <c r="J153" t="s">
        <v>44</v>
      </c>
      <c r="K153">
        <v>68</v>
      </c>
      <c r="L153">
        <v>8000</v>
      </c>
      <c r="M153" t="s">
        <v>17</v>
      </c>
    </row>
    <row r="154" spans="1:13">
      <c r="A154">
        <v>153</v>
      </c>
      <c r="B154" t="s">
        <v>13</v>
      </c>
      <c r="C154">
        <v>39</v>
      </c>
      <c r="D154" t="s">
        <v>41</v>
      </c>
      <c r="E154">
        <v>7.2</v>
      </c>
      <c r="F154">
        <v>8</v>
      </c>
      <c r="G154">
        <v>60</v>
      </c>
      <c r="H154">
        <v>5</v>
      </c>
      <c r="I154" t="s">
        <v>19</v>
      </c>
      <c r="J154" t="s">
        <v>44</v>
      </c>
      <c r="K154">
        <v>68</v>
      </c>
      <c r="L154">
        <v>8000</v>
      </c>
      <c r="M154" t="s">
        <v>17</v>
      </c>
    </row>
    <row r="155" spans="1:13">
      <c r="A155">
        <v>154</v>
      </c>
      <c r="B155" t="s">
        <v>13</v>
      </c>
      <c r="C155">
        <v>39</v>
      </c>
      <c r="D155" t="s">
        <v>41</v>
      </c>
      <c r="E155">
        <v>7.2</v>
      </c>
      <c r="F155">
        <v>8</v>
      </c>
      <c r="G155">
        <v>60</v>
      </c>
      <c r="H155">
        <v>5</v>
      </c>
      <c r="I155" t="s">
        <v>19</v>
      </c>
      <c r="J155" t="s">
        <v>44</v>
      </c>
      <c r="K155">
        <v>68</v>
      </c>
      <c r="L155">
        <v>8000</v>
      </c>
      <c r="M155" t="s">
        <v>17</v>
      </c>
    </row>
    <row r="156" spans="1:13">
      <c r="A156">
        <v>155</v>
      </c>
      <c r="B156" t="s">
        <v>13</v>
      </c>
      <c r="C156">
        <v>39</v>
      </c>
      <c r="D156" t="s">
        <v>41</v>
      </c>
      <c r="E156">
        <v>7.2</v>
      </c>
      <c r="F156">
        <v>8</v>
      </c>
      <c r="G156">
        <v>60</v>
      </c>
      <c r="H156">
        <v>5</v>
      </c>
      <c r="I156" t="s">
        <v>19</v>
      </c>
      <c r="J156" t="s">
        <v>44</v>
      </c>
      <c r="K156">
        <v>68</v>
      </c>
      <c r="L156">
        <v>8000</v>
      </c>
      <c r="M156" t="s">
        <v>17</v>
      </c>
    </row>
    <row r="157" spans="1:13">
      <c r="A157">
        <v>156</v>
      </c>
      <c r="B157" t="s">
        <v>13</v>
      </c>
      <c r="C157">
        <v>39</v>
      </c>
      <c r="D157" t="s">
        <v>41</v>
      </c>
      <c r="E157">
        <v>7.2</v>
      </c>
      <c r="F157">
        <v>8</v>
      </c>
      <c r="G157">
        <v>60</v>
      </c>
      <c r="H157">
        <v>5</v>
      </c>
      <c r="I157" t="s">
        <v>19</v>
      </c>
      <c r="J157" t="s">
        <v>44</v>
      </c>
      <c r="K157">
        <v>68</v>
      </c>
      <c r="L157">
        <v>8000</v>
      </c>
      <c r="M157" t="s">
        <v>17</v>
      </c>
    </row>
    <row r="158" spans="1:13">
      <c r="A158">
        <v>157</v>
      </c>
      <c r="B158" t="s">
        <v>13</v>
      </c>
      <c r="C158">
        <v>39</v>
      </c>
      <c r="D158" t="s">
        <v>41</v>
      </c>
      <c r="E158">
        <v>7.2</v>
      </c>
      <c r="F158">
        <v>8</v>
      </c>
      <c r="G158">
        <v>60</v>
      </c>
      <c r="H158">
        <v>5</v>
      </c>
      <c r="I158" t="s">
        <v>19</v>
      </c>
      <c r="J158" t="s">
        <v>44</v>
      </c>
      <c r="K158">
        <v>68</v>
      </c>
      <c r="L158">
        <v>8000</v>
      </c>
      <c r="M158" t="s">
        <v>17</v>
      </c>
    </row>
    <row r="159" spans="1:13">
      <c r="A159">
        <v>158</v>
      </c>
      <c r="B159" t="s">
        <v>13</v>
      </c>
      <c r="C159">
        <v>39</v>
      </c>
      <c r="D159" t="s">
        <v>41</v>
      </c>
      <c r="E159">
        <v>7.2</v>
      </c>
      <c r="F159">
        <v>8</v>
      </c>
      <c r="G159">
        <v>60</v>
      </c>
      <c r="H159">
        <v>5</v>
      </c>
      <c r="I159" t="s">
        <v>19</v>
      </c>
      <c r="J159" t="s">
        <v>44</v>
      </c>
      <c r="K159">
        <v>68</v>
      </c>
      <c r="L159">
        <v>8000</v>
      </c>
      <c r="M159" t="s">
        <v>17</v>
      </c>
    </row>
    <row r="160" spans="1:13">
      <c r="A160">
        <v>159</v>
      </c>
      <c r="B160" t="s">
        <v>13</v>
      </c>
      <c r="C160">
        <v>39</v>
      </c>
      <c r="D160" t="s">
        <v>41</v>
      </c>
      <c r="E160">
        <v>7.2</v>
      </c>
      <c r="F160">
        <v>8</v>
      </c>
      <c r="G160">
        <v>60</v>
      </c>
      <c r="H160">
        <v>5</v>
      </c>
      <c r="I160" t="s">
        <v>19</v>
      </c>
      <c r="J160" t="s">
        <v>44</v>
      </c>
      <c r="K160">
        <v>68</v>
      </c>
      <c r="L160">
        <v>8000</v>
      </c>
      <c r="M160" t="s">
        <v>17</v>
      </c>
    </row>
    <row r="161" spans="1:13">
      <c r="A161">
        <v>160</v>
      </c>
      <c r="B161" t="s">
        <v>13</v>
      </c>
      <c r="C161">
        <v>39</v>
      </c>
      <c r="D161" t="s">
        <v>41</v>
      </c>
      <c r="E161">
        <v>7.2</v>
      </c>
      <c r="F161">
        <v>8</v>
      </c>
      <c r="G161">
        <v>60</v>
      </c>
      <c r="H161">
        <v>5</v>
      </c>
      <c r="I161" t="s">
        <v>19</v>
      </c>
      <c r="J161" t="s">
        <v>44</v>
      </c>
      <c r="K161">
        <v>68</v>
      </c>
      <c r="L161">
        <v>8000</v>
      </c>
      <c r="M161" t="s">
        <v>17</v>
      </c>
    </row>
    <row r="162" spans="1:13">
      <c r="A162">
        <v>161</v>
      </c>
      <c r="B162" t="s">
        <v>13</v>
      </c>
      <c r="C162">
        <v>39</v>
      </c>
      <c r="D162" t="s">
        <v>41</v>
      </c>
      <c r="E162">
        <v>7.2</v>
      </c>
      <c r="F162">
        <v>8</v>
      </c>
      <c r="G162">
        <v>60</v>
      </c>
      <c r="H162">
        <v>5</v>
      </c>
      <c r="I162" t="s">
        <v>19</v>
      </c>
      <c r="J162" t="s">
        <v>44</v>
      </c>
      <c r="K162">
        <v>68</v>
      </c>
      <c r="L162">
        <v>8000</v>
      </c>
      <c r="M162" t="s">
        <v>17</v>
      </c>
    </row>
    <row r="163" spans="1:13">
      <c r="A163">
        <v>162</v>
      </c>
      <c r="B163" t="s">
        <v>28</v>
      </c>
      <c r="C163">
        <v>40</v>
      </c>
      <c r="D163" t="s">
        <v>34</v>
      </c>
      <c r="E163">
        <v>7.2</v>
      </c>
      <c r="F163">
        <v>8</v>
      </c>
      <c r="G163">
        <v>55</v>
      </c>
      <c r="H163">
        <v>6</v>
      </c>
      <c r="I163" t="s">
        <v>19</v>
      </c>
      <c r="J163" t="s">
        <v>46</v>
      </c>
      <c r="K163">
        <v>73</v>
      </c>
      <c r="L163">
        <v>7300</v>
      </c>
      <c r="M163" t="s">
        <v>17</v>
      </c>
    </row>
    <row r="164" spans="1:13">
      <c r="A164">
        <v>163</v>
      </c>
      <c r="B164" t="s">
        <v>28</v>
      </c>
      <c r="C164">
        <v>40</v>
      </c>
      <c r="D164" t="s">
        <v>34</v>
      </c>
      <c r="E164">
        <v>7.2</v>
      </c>
      <c r="F164">
        <v>8</v>
      </c>
      <c r="G164">
        <v>55</v>
      </c>
      <c r="H164">
        <v>6</v>
      </c>
      <c r="I164" t="s">
        <v>19</v>
      </c>
      <c r="J164" t="s">
        <v>46</v>
      </c>
      <c r="K164">
        <v>73</v>
      </c>
      <c r="L164">
        <v>7300</v>
      </c>
      <c r="M164" t="s">
        <v>17</v>
      </c>
    </row>
    <row r="165" spans="1:13">
      <c r="A165">
        <v>164</v>
      </c>
      <c r="B165" t="s">
        <v>13</v>
      </c>
      <c r="C165">
        <v>40</v>
      </c>
      <c r="D165" t="s">
        <v>41</v>
      </c>
      <c r="E165">
        <v>7.9</v>
      </c>
      <c r="F165">
        <v>8</v>
      </c>
      <c r="G165">
        <v>90</v>
      </c>
      <c r="H165">
        <v>5</v>
      </c>
      <c r="I165" t="s">
        <v>19</v>
      </c>
      <c r="J165" t="s">
        <v>44</v>
      </c>
      <c r="K165">
        <v>68</v>
      </c>
      <c r="L165">
        <v>8000</v>
      </c>
      <c r="M165" t="s">
        <v>17</v>
      </c>
    </row>
    <row r="166" spans="1:13">
      <c r="A166">
        <v>165</v>
      </c>
      <c r="B166" t="s">
        <v>13</v>
      </c>
      <c r="C166">
        <v>40</v>
      </c>
      <c r="D166" t="s">
        <v>41</v>
      </c>
      <c r="E166">
        <v>7.9</v>
      </c>
      <c r="F166">
        <v>8</v>
      </c>
      <c r="G166">
        <v>90</v>
      </c>
      <c r="H166">
        <v>5</v>
      </c>
      <c r="I166" t="s">
        <v>19</v>
      </c>
      <c r="J166" t="s">
        <v>44</v>
      </c>
      <c r="K166">
        <v>68</v>
      </c>
      <c r="L166">
        <v>8000</v>
      </c>
      <c r="M166" t="s">
        <v>17</v>
      </c>
    </row>
    <row r="167" spans="1:13">
      <c r="A167">
        <v>166</v>
      </c>
      <c r="B167" t="s">
        <v>13</v>
      </c>
      <c r="C167">
        <v>41</v>
      </c>
      <c r="D167" t="s">
        <v>41</v>
      </c>
      <c r="E167">
        <v>7.6</v>
      </c>
      <c r="F167">
        <v>8</v>
      </c>
      <c r="G167">
        <v>90</v>
      </c>
      <c r="H167">
        <v>5</v>
      </c>
      <c r="I167" t="s">
        <v>19</v>
      </c>
      <c r="J167" t="s">
        <v>44</v>
      </c>
      <c r="K167">
        <v>70</v>
      </c>
      <c r="L167">
        <v>8000</v>
      </c>
      <c r="M167" t="s">
        <v>25</v>
      </c>
    </row>
    <row r="168" spans="1:13">
      <c r="A168">
        <v>167</v>
      </c>
      <c r="B168" t="s">
        <v>13</v>
      </c>
      <c r="C168">
        <v>41</v>
      </c>
      <c r="D168" t="s">
        <v>33</v>
      </c>
      <c r="E168">
        <v>7.3</v>
      </c>
      <c r="F168">
        <v>8</v>
      </c>
      <c r="G168">
        <v>70</v>
      </c>
      <c r="H168">
        <v>6</v>
      </c>
      <c r="I168" t="s">
        <v>19</v>
      </c>
      <c r="J168" t="s">
        <v>47</v>
      </c>
      <c r="K168">
        <v>72</v>
      </c>
      <c r="L168">
        <v>6200</v>
      </c>
      <c r="M168" t="s">
        <v>17</v>
      </c>
    </row>
    <row r="169" spans="1:13">
      <c r="A169">
        <v>168</v>
      </c>
      <c r="B169" t="s">
        <v>13</v>
      </c>
      <c r="C169">
        <v>41</v>
      </c>
      <c r="D169" t="s">
        <v>41</v>
      </c>
      <c r="E169">
        <v>7.1</v>
      </c>
      <c r="F169">
        <v>7</v>
      </c>
      <c r="G169">
        <v>55</v>
      </c>
      <c r="H169">
        <v>6</v>
      </c>
      <c r="I169" t="s">
        <v>15</v>
      </c>
      <c r="J169" t="s">
        <v>48</v>
      </c>
      <c r="K169">
        <v>72</v>
      </c>
      <c r="L169">
        <v>6000</v>
      </c>
      <c r="M169" t="s">
        <v>17</v>
      </c>
    </row>
    <row r="170" spans="1:13">
      <c r="A170">
        <v>169</v>
      </c>
      <c r="B170" t="s">
        <v>13</v>
      </c>
      <c r="C170">
        <v>41</v>
      </c>
      <c r="D170" t="s">
        <v>41</v>
      </c>
      <c r="E170">
        <v>7.1</v>
      </c>
      <c r="F170">
        <v>7</v>
      </c>
      <c r="G170">
        <v>55</v>
      </c>
      <c r="H170">
        <v>6</v>
      </c>
      <c r="I170" t="s">
        <v>15</v>
      </c>
      <c r="J170" t="s">
        <v>48</v>
      </c>
      <c r="K170">
        <v>72</v>
      </c>
      <c r="L170">
        <v>6000</v>
      </c>
      <c r="M170" t="s">
        <v>17</v>
      </c>
    </row>
    <row r="171" spans="1:13">
      <c r="A171">
        <v>170</v>
      </c>
      <c r="B171" t="s">
        <v>13</v>
      </c>
      <c r="C171">
        <v>41</v>
      </c>
      <c r="D171" t="s">
        <v>41</v>
      </c>
      <c r="E171">
        <v>7.7</v>
      </c>
      <c r="F171">
        <v>8</v>
      </c>
      <c r="G171">
        <v>90</v>
      </c>
      <c r="H171">
        <v>5</v>
      </c>
      <c r="I171" t="s">
        <v>19</v>
      </c>
      <c r="J171" t="s">
        <v>44</v>
      </c>
      <c r="K171">
        <v>70</v>
      </c>
      <c r="L171">
        <v>8000</v>
      </c>
      <c r="M171" t="s">
        <v>17</v>
      </c>
    </row>
    <row r="172" spans="1:13">
      <c r="A172">
        <v>171</v>
      </c>
      <c r="B172" t="s">
        <v>13</v>
      </c>
      <c r="C172">
        <v>41</v>
      </c>
      <c r="D172" t="s">
        <v>41</v>
      </c>
      <c r="E172">
        <v>7.7</v>
      </c>
      <c r="F172">
        <v>8</v>
      </c>
      <c r="G172">
        <v>90</v>
      </c>
      <c r="H172">
        <v>5</v>
      </c>
      <c r="I172" t="s">
        <v>19</v>
      </c>
      <c r="J172" t="s">
        <v>44</v>
      </c>
      <c r="K172">
        <v>70</v>
      </c>
      <c r="L172">
        <v>8000</v>
      </c>
      <c r="M172" t="s">
        <v>17</v>
      </c>
    </row>
    <row r="173" spans="1:13">
      <c r="A173">
        <v>172</v>
      </c>
      <c r="B173" t="s">
        <v>13</v>
      </c>
      <c r="C173">
        <v>41</v>
      </c>
      <c r="D173" t="s">
        <v>41</v>
      </c>
      <c r="E173">
        <v>7.7</v>
      </c>
      <c r="F173">
        <v>8</v>
      </c>
      <c r="G173">
        <v>90</v>
      </c>
      <c r="H173">
        <v>5</v>
      </c>
      <c r="I173" t="s">
        <v>19</v>
      </c>
      <c r="J173" t="s">
        <v>44</v>
      </c>
      <c r="K173">
        <v>70</v>
      </c>
      <c r="L173">
        <v>8000</v>
      </c>
      <c r="M173" t="s">
        <v>17</v>
      </c>
    </row>
    <row r="174" spans="1:13">
      <c r="A174">
        <v>173</v>
      </c>
      <c r="B174" t="s">
        <v>13</v>
      </c>
      <c r="C174">
        <v>41</v>
      </c>
      <c r="D174" t="s">
        <v>41</v>
      </c>
      <c r="E174">
        <v>7.7</v>
      </c>
      <c r="F174">
        <v>8</v>
      </c>
      <c r="G174">
        <v>90</v>
      </c>
      <c r="H174">
        <v>5</v>
      </c>
      <c r="I174" t="s">
        <v>19</v>
      </c>
      <c r="J174" t="s">
        <v>44</v>
      </c>
      <c r="K174">
        <v>70</v>
      </c>
      <c r="L174">
        <v>8000</v>
      </c>
      <c r="M174" t="s">
        <v>17</v>
      </c>
    </row>
    <row r="175" spans="1:13">
      <c r="A175">
        <v>174</v>
      </c>
      <c r="B175" t="s">
        <v>13</v>
      </c>
      <c r="C175">
        <v>41</v>
      </c>
      <c r="D175" t="s">
        <v>41</v>
      </c>
      <c r="E175">
        <v>7.7</v>
      </c>
      <c r="F175">
        <v>8</v>
      </c>
      <c r="G175">
        <v>90</v>
      </c>
      <c r="H175">
        <v>5</v>
      </c>
      <c r="I175" t="s">
        <v>19</v>
      </c>
      <c r="J175" t="s">
        <v>44</v>
      </c>
      <c r="K175">
        <v>70</v>
      </c>
      <c r="L175">
        <v>8000</v>
      </c>
      <c r="M175" t="s">
        <v>17</v>
      </c>
    </row>
    <row r="176" spans="1:13">
      <c r="A176">
        <v>175</v>
      </c>
      <c r="B176" t="s">
        <v>13</v>
      </c>
      <c r="C176">
        <v>41</v>
      </c>
      <c r="D176" t="s">
        <v>41</v>
      </c>
      <c r="E176">
        <v>7.6</v>
      </c>
      <c r="F176">
        <v>8</v>
      </c>
      <c r="G176">
        <v>90</v>
      </c>
      <c r="H176">
        <v>5</v>
      </c>
      <c r="I176" t="s">
        <v>19</v>
      </c>
      <c r="J176" t="s">
        <v>44</v>
      </c>
      <c r="K176">
        <v>70</v>
      </c>
      <c r="L176">
        <v>8000</v>
      </c>
      <c r="M176" t="s">
        <v>17</v>
      </c>
    </row>
    <row r="177" spans="1:13">
      <c r="A177">
        <v>176</v>
      </c>
      <c r="B177" t="s">
        <v>13</v>
      </c>
      <c r="C177">
        <v>41</v>
      </c>
      <c r="D177" t="s">
        <v>41</v>
      </c>
      <c r="E177">
        <v>7.6</v>
      </c>
      <c r="F177">
        <v>8</v>
      </c>
      <c r="G177">
        <v>90</v>
      </c>
      <c r="H177">
        <v>5</v>
      </c>
      <c r="I177" t="s">
        <v>19</v>
      </c>
      <c r="J177" t="s">
        <v>44</v>
      </c>
      <c r="K177">
        <v>70</v>
      </c>
      <c r="L177">
        <v>8000</v>
      </c>
      <c r="M177" t="s">
        <v>17</v>
      </c>
    </row>
    <row r="178" spans="1:13">
      <c r="A178">
        <v>177</v>
      </c>
      <c r="B178" t="s">
        <v>13</v>
      </c>
      <c r="C178">
        <v>41</v>
      </c>
      <c r="D178" t="s">
        <v>41</v>
      </c>
      <c r="E178">
        <v>7.6</v>
      </c>
      <c r="F178">
        <v>8</v>
      </c>
      <c r="G178">
        <v>90</v>
      </c>
      <c r="H178">
        <v>5</v>
      </c>
      <c r="I178" t="s">
        <v>19</v>
      </c>
      <c r="J178" t="s">
        <v>44</v>
      </c>
      <c r="K178">
        <v>70</v>
      </c>
      <c r="L178">
        <v>8000</v>
      </c>
      <c r="M178" t="s">
        <v>17</v>
      </c>
    </row>
    <row r="179" spans="1:13">
      <c r="A179">
        <v>178</v>
      </c>
      <c r="B179" t="s">
        <v>13</v>
      </c>
      <c r="C179">
        <v>42</v>
      </c>
      <c r="D179" t="s">
        <v>49</v>
      </c>
      <c r="E179">
        <v>6.5</v>
      </c>
      <c r="F179">
        <v>6</v>
      </c>
      <c r="G179">
        <v>45</v>
      </c>
      <c r="H179">
        <v>7</v>
      </c>
      <c r="I179" t="s">
        <v>15</v>
      </c>
      <c r="J179" t="s">
        <v>44</v>
      </c>
      <c r="K179">
        <v>72</v>
      </c>
      <c r="L179">
        <v>6000</v>
      </c>
      <c r="M179" t="s">
        <v>25</v>
      </c>
    </row>
    <row r="180" spans="1:13">
      <c r="A180">
        <v>179</v>
      </c>
      <c r="B180" t="s">
        <v>13</v>
      </c>
      <c r="C180">
        <v>42</v>
      </c>
      <c r="D180" t="s">
        <v>41</v>
      </c>
      <c r="E180">
        <v>7.8</v>
      </c>
      <c r="F180">
        <v>8</v>
      </c>
      <c r="G180">
        <v>90</v>
      </c>
      <c r="H180">
        <v>5</v>
      </c>
      <c r="I180" t="s">
        <v>19</v>
      </c>
      <c r="J180" t="s">
        <v>44</v>
      </c>
      <c r="K180">
        <v>70</v>
      </c>
      <c r="L180">
        <v>8000</v>
      </c>
      <c r="M180" t="s">
        <v>17</v>
      </c>
    </row>
    <row r="181" spans="1:13">
      <c r="A181">
        <v>180</v>
      </c>
      <c r="B181" t="s">
        <v>13</v>
      </c>
      <c r="C181">
        <v>42</v>
      </c>
      <c r="D181" t="s">
        <v>41</v>
      </c>
      <c r="E181">
        <v>7.8</v>
      </c>
      <c r="F181">
        <v>8</v>
      </c>
      <c r="G181">
        <v>90</v>
      </c>
      <c r="H181">
        <v>5</v>
      </c>
      <c r="I181" t="s">
        <v>19</v>
      </c>
      <c r="J181" t="s">
        <v>44</v>
      </c>
      <c r="K181">
        <v>70</v>
      </c>
      <c r="L181">
        <v>8000</v>
      </c>
      <c r="M181" t="s">
        <v>17</v>
      </c>
    </row>
    <row r="182" spans="1:13">
      <c r="A182">
        <v>181</v>
      </c>
      <c r="B182" t="s">
        <v>13</v>
      </c>
      <c r="C182">
        <v>42</v>
      </c>
      <c r="D182" t="s">
        <v>41</v>
      </c>
      <c r="E182">
        <v>7.8</v>
      </c>
      <c r="F182">
        <v>8</v>
      </c>
      <c r="G182">
        <v>90</v>
      </c>
      <c r="H182">
        <v>5</v>
      </c>
      <c r="I182" t="s">
        <v>19</v>
      </c>
      <c r="J182" t="s">
        <v>44</v>
      </c>
      <c r="K182">
        <v>70</v>
      </c>
      <c r="L182">
        <v>8000</v>
      </c>
      <c r="M182" t="s">
        <v>17</v>
      </c>
    </row>
    <row r="183" spans="1:13">
      <c r="A183">
        <v>182</v>
      </c>
      <c r="B183" t="s">
        <v>13</v>
      </c>
      <c r="C183">
        <v>42</v>
      </c>
      <c r="D183" t="s">
        <v>41</v>
      </c>
      <c r="E183">
        <v>7.8</v>
      </c>
      <c r="F183">
        <v>8</v>
      </c>
      <c r="G183">
        <v>90</v>
      </c>
      <c r="H183">
        <v>5</v>
      </c>
      <c r="I183" t="s">
        <v>19</v>
      </c>
      <c r="J183" t="s">
        <v>44</v>
      </c>
      <c r="K183">
        <v>70</v>
      </c>
      <c r="L183">
        <v>8000</v>
      </c>
      <c r="M183" t="s">
        <v>17</v>
      </c>
    </row>
    <row r="184" spans="1:13">
      <c r="A184">
        <v>183</v>
      </c>
      <c r="B184" t="s">
        <v>13</v>
      </c>
      <c r="C184">
        <v>42</v>
      </c>
      <c r="D184" t="s">
        <v>41</v>
      </c>
      <c r="E184">
        <v>7.8</v>
      </c>
      <c r="F184">
        <v>8</v>
      </c>
      <c r="G184">
        <v>90</v>
      </c>
      <c r="H184">
        <v>5</v>
      </c>
      <c r="I184" t="s">
        <v>19</v>
      </c>
      <c r="J184" t="s">
        <v>44</v>
      </c>
      <c r="K184">
        <v>70</v>
      </c>
      <c r="L184">
        <v>8000</v>
      </c>
      <c r="M184" t="s">
        <v>17</v>
      </c>
    </row>
    <row r="185" spans="1:13">
      <c r="A185">
        <v>184</v>
      </c>
      <c r="B185" t="s">
        <v>13</v>
      </c>
      <c r="C185">
        <v>42</v>
      </c>
      <c r="D185" t="s">
        <v>41</v>
      </c>
      <c r="E185">
        <v>7.8</v>
      </c>
      <c r="F185">
        <v>8</v>
      </c>
      <c r="G185">
        <v>90</v>
      </c>
      <c r="H185">
        <v>5</v>
      </c>
      <c r="I185" t="s">
        <v>19</v>
      </c>
      <c r="J185" t="s">
        <v>44</v>
      </c>
      <c r="K185">
        <v>70</v>
      </c>
      <c r="L185">
        <v>8000</v>
      </c>
      <c r="M185" t="s">
        <v>17</v>
      </c>
    </row>
    <row r="186" spans="1:13">
      <c r="A186">
        <v>185</v>
      </c>
      <c r="B186" t="s">
        <v>28</v>
      </c>
      <c r="C186">
        <v>42</v>
      </c>
      <c r="D186" t="s">
        <v>26</v>
      </c>
      <c r="E186">
        <v>6.8</v>
      </c>
      <c r="F186">
        <v>6</v>
      </c>
      <c r="G186">
        <v>45</v>
      </c>
      <c r="H186">
        <v>7</v>
      </c>
      <c r="I186" t="s">
        <v>15</v>
      </c>
      <c r="J186" t="s">
        <v>44</v>
      </c>
      <c r="K186">
        <v>78</v>
      </c>
      <c r="L186">
        <v>5000</v>
      </c>
      <c r="M186" t="s">
        <v>24</v>
      </c>
    </row>
    <row r="187" spans="1:13">
      <c r="A187">
        <v>186</v>
      </c>
      <c r="B187" t="s">
        <v>28</v>
      </c>
      <c r="C187">
        <v>42</v>
      </c>
      <c r="D187" t="s">
        <v>26</v>
      </c>
      <c r="E187">
        <v>6.8</v>
      </c>
      <c r="F187">
        <v>6</v>
      </c>
      <c r="G187">
        <v>45</v>
      </c>
      <c r="H187">
        <v>7</v>
      </c>
      <c r="I187" t="s">
        <v>15</v>
      </c>
      <c r="J187" t="s">
        <v>44</v>
      </c>
      <c r="K187">
        <v>78</v>
      </c>
      <c r="L187">
        <v>5000</v>
      </c>
      <c r="M187" t="s">
        <v>24</v>
      </c>
    </row>
    <row r="188" spans="1:13">
      <c r="A188">
        <v>187</v>
      </c>
      <c r="B188" t="s">
        <v>28</v>
      </c>
      <c r="C188">
        <v>43</v>
      </c>
      <c r="D188" t="s">
        <v>26</v>
      </c>
      <c r="E188">
        <v>6.7</v>
      </c>
      <c r="F188">
        <v>7</v>
      </c>
      <c r="G188">
        <v>45</v>
      </c>
      <c r="H188">
        <v>4</v>
      </c>
      <c r="I188" t="s">
        <v>15</v>
      </c>
      <c r="J188" t="s">
        <v>50</v>
      </c>
      <c r="K188">
        <v>65</v>
      </c>
      <c r="L188">
        <v>6000</v>
      </c>
      <c r="M188" t="s">
        <v>25</v>
      </c>
    </row>
    <row r="189" spans="1:13">
      <c r="A189">
        <v>188</v>
      </c>
      <c r="B189" t="s">
        <v>13</v>
      </c>
      <c r="C189">
        <v>43</v>
      </c>
      <c r="D189" t="s">
        <v>49</v>
      </c>
      <c r="E189">
        <v>6.3</v>
      </c>
      <c r="F189">
        <v>6</v>
      </c>
      <c r="G189">
        <v>45</v>
      </c>
      <c r="H189">
        <v>7</v>
      </c>
      <c r="I189" t="s">
        <v>15</v>
      </c>
      <c r="J189" t="s">
        <v>44</v>
      </c>
      <c r="K189">
        <v>72</v>
      </c>
      <c r="L189">
        <v>6000</v>
      </c>
      <c r="M189" t="s">
        <v>25</v>
      </c>
    </row>
    <row r="190" spans="1:13">
      <c r="A190">
        <v>189</v>
      </c>
      <c r="B190" t="s">
        <v>28</v>
      </c>
      <c r="C190">
        <v>43</v>
      </c>
      <c r="D190" t="s">
        <v>26</v>
      </c>
      <c r="E190">
        <v>6.7</v>
      </c>
      <c r="F190">
        <v>7</v>
      </c>
      <c r="G190">
        <v>45</v>
      </c>
      <c r="H190">
        <v>4</v>
      </c>
      <c r="I190" t="s">
        <v>15</v>
      </c>
      <c r="J190" t="s">
        <v>50</v>
      </c>
      <c r="K190">
        <v>65</v>
      </c>
      <c r="L190">
        <v>6000</v>
      </c>
      <c r="M190" t="s">
        <v>25</v>
      </c>
    </row>
    <row r="191" spans="1:13">
      <c r="A191">
        <v>190</v>
      </c>
      <c r="B191" t="s">
        <v>13</v>
      </c>
      <c r="C191">
        <v>43</v>
      </c>
      <c r="D191" t="s">
        <v>49</v>
      </c>
      <c r="E191">
        <v>6.5</v>
      </c>
      <c r="F191">
        <v>6</v>
      </c>
      <c r="G191">
        <v>45</v>
      </c>
      <c r="H191">
        <v>7</v>
      </c>
      <c r="I191" t="s">
        <v>15</v>
      </c>
      <c r="J191" t="s">
        <v>44</v>
      </c>
      <c r="K191">
        <v>72</v>
      </c>
      <c r="L191">
        <v>6000</v>
      </c>
      <c r="M191" t="s">
        <v>25</v>
      </c>
    </row>
    <row r="192" spans="1:13">
      <c r="A192">
        <v>191</v>
      </c>
      <c r="B192" t="s">
        <v>28</v>
      </c>
      <c r="C192">
        <v>43</v>
      </c>
      <c r="D192" t="s">
        <v>26</v>
      </c>
      <c r="E192">
        <v>6.7</v>
      </c>
      <c r="F192">
        <v>7</v>
      </c>
      <c r="G192">
        <v>45</v>
      </c>
      <c r="H192">
        <v>4</v>
      </c>
      <c r="I192" t="s">
        <v>15</v>
      </c>
      <c r="J192" t="s">
        <v>50</v>
      </c>
      <c r="K192">
        <v>65</v>
      </c>
      <c r="L192">
        <v>6000</v>
      </c>
      <c r="M192" t="s">
        <v>25</v>
      </c>
    </row>
    <row r="193" spans="1:13">
      <c r="A193">
        <v>192</v>
      </c>
      <c r="B193" t="s">
        <v>13</v>
      </c>
      <c r="C193">
        <v>43</v>
      </c>
      <c r="D193" t="s">
        <v>49</v>
      </c>
      <c r="E193">
        <v>6.4</v>
      </c>
      <c r="F193">
        <v>6</v>
      </c>
      <c r="G193">
        <v>45</v>
      </c>
      <c r="H193">
        <v>7</v>
      </c>
      <c r="I193" t="s">
        <v>15</v>
      </c>
      <c r="J193" t="s">
        <v>44</v>
      </c>
      <c r="K193">
        <v>72</v>
      </c>
      <c r="L193">
        <v>6000</v>
      </c>
      <c r="M193" t="s">
        <v>25</v>
      </c>
    </row>
    <row r="194" spans="1:13">
      <c r="A194">
        <v>193</v>
      </c>
      <c r="B194" t="s">
        <v>13</v>
      </c>
      <c r="C194">
        <v>43</v>
      </c>
      <c r="D194" t="s">
        <v>49</v>
      </c>
      <c r="E194">
        <v>6.5</v>
      </c>
      <c r="F194">
        <v>6</v>
      </c>
      <c r="G194">
        <v>45</v>
      </c>
      <c r="H194">
        <v>7</v>
      </c>
      <c r="I194" t="s">
        <v>15</v>
      </c>
      <c r="J194" t="s">
        <v>44</v>
      </c>
      <c r="K194">
        <v>72</v>
      </c>
      <c r="L194">
        <v>6000</v>
      </c>
      <c r="M194" t="s">
        <v>25</v>
      </c>
    </row>
    <row r="195" spans="1:13">
      <c r="A195">
        <v>194</v>
      </c>
      <c r="B195" t="s">
        <v>13</v>
      </c>
      <c r="C195">
        <v>43</v>
      </c>
      <c r="D195" t="s">
        <v>49</v>
      </c>
      <c r="E195">
        <v>6.5</v>
      </c>
      <c r="F195">
        <v>6</v>
      </c>
      <c r="G195">
        <v>45</v>
      </c>
      <c r="H195">
        <v>7</v>
      </c>
      <c r="I195" t="s">
        <v>15</v>
      </c>
      <c r="J195" t="s">
        <v>44</v>
      </c>
      <c r="K195">
        <v>72</v>
      </c>
      <c r="L195">
        <v>6000</v>
      </c>
      <c r="M195" t="s">
        <v>25</v>
      </c>
    </row>
    <row r="196" spans="1:13">
      <c r="A196">
        <v>195</v>
      </c>
      <c r="B196" t="s">
        <v>13</v>
      </c>
      <c r="C196">
        <v>43</v>
      </c>
      <c r="D196" t="s">
        <v>49</v>
      </c>
      <c r="E196">
        <v>6.5</v>
      </c>
      <c r="F196">
        <v>6</v>
      </c>
      <c r="G196">
        <v>45</v>
      </c>
      <c r="H196">
        <v>7</v>
      </c>
      <c r="I196" t="s">
        <v>15</v>
      </c>
      <c r="J196" t="s">
        <v>44</v>
      </c>
      <c r="K196">
        <v>72</v>
      </c>
      <c r="L196">
        <v>6000</v>
      </c>
      <c r="M196" t="s">
        <v>25</v>
      </c>
    </row>
    <row r="197" spans="1:13">
      <c r="A197">
        <v>196</v>
      </c>
      <c r="B197" t="s">
        <v>13</v>
      </c>
      <c r="C197">
        <v>43</v>
      </c>
      <c r="D197" t="s">
        <v>49</v>
      </c>
      <c r="E197">
        <v>6.5</v>
      </c>
      <c r="F197">
        <v>6</v>
      </c>
      <c r="G197">
        <v>45</v>
      </c>
      <c r="H197">
        <v>7</v>
      </c>
      <c r="I197" t="s">
        <v>15</v>
      </c>
      <c r="J197" t="s">
        <v>44</v>
      </c>
      <c r="K197">
        <v>72</v>
      </c>
      <c r="L197">
        <v>6000</v>
      </c>
      <c r="M197" t="s">
        <v>25</v>
      </c>
    </row>
    <row r="198" spans="1:13">
      <c r="A198">
        <v>197</v>
      </c>
      <c r="B198" t="s">
        <v>13</v>
      </c>
      <c r="C198">
        <v>43</v>
      </c>
      <c r="D198" t="s">
        <v>49</v>
      </c>
      <c r="E198">
        <v>6.5</v>
      </c>
      <c r="F198">
        <v>6</v>
      </c>
      <c r="G198">
        <v>45</v>
      </c>
      <c r="H198">
        <v>7</v>
      </c>
      <c r="I198" t="s">
        <v>15</v>
      </c>
      <c r="J198" t="s">
        <v>44</v>
      </c>
      <c r="K198">
        <v>72</v>
      </c>
      <c r="L198">
        <v>6000</v>
      </c>
      <c r="M198" t="s">
        <v>25</v>
      </c>
    </row>
    <row r="199" spans="1:13">
      <c r="A199">
        <v>198</v>
      </c>
      <c r="B199" t="s">
        <v>13</v>
      </c>
      <c r="C199">
        <v>43</v>
      </c>
      <c r="D199" t="s">
        <v>49</v>
      </c>
      <c r="E199">
        <v>6.5</v>
      </c>
      <c r="F199">
        <v>6</v>
      </c>
      <c r="G199">
        <v>45</v>
      </c>
      <c r="H199">
        <v>7</v>
      </c>
      <c r="I199" t="s">
        <v>15</v>
      </c>
      <c r="J199" t="s">
        <v>44</v>
      </c>
      <c r="K199">
        <v>72</v>
      </c>
      <c r="L199">
        <v>6000</v>
      </c>
      <c r="M199" t="s">
        <v>25</v>
      </c>
    </row>
    <row r="200" spans="1:13">
      <c r="A200">
        <v>199</v>
      </c>
      <c r="B200" t="s">
        <v>13</v>
      </c>
      <c r="C200">
        <v>43</v>
      </c>
      <c r="D200" t="s">
        <v>49</v>
      </c>
      <c r="E200">
        <v>6.5</v>
      </c>
      <c r="F200">
        <v>6</v>
      </c>
      <c r="G200">
        <v>45</v>
      </c>
      <c r="H200">
        <v>7</v>
      </c>
      <c r="I200" t="s">
        <v>15</v>
      </c>
      <c r="J200" t="s">
        <v>44</v>
      </c>
      <c r="K200">
        <v>72</v>
      </c>
      <c r="L200">
        <v>6000</v>
      </c>
      <c r="M200" t="s">
        <v>25</v>
      </c>
    </row>
    <row r="201" spans="1:13">
      <c r="A201">
        <v>200</v>
      </c>
      <c r="B201" t="s">
        <v>13</v>
      </c>
      <c r="C201">
        <v>43</v>
      </c>
      <c r="D201" t="s">
        <v>49</v>
      </c>
      <c r="E201">
        <v>6.5</v>
      </c>
      <c r="F201">
        <v>6</v>
      </c>
      <c r="G201">
        <v>45</v>
      </c>
      <c r="H201">
        <v>7</v>
      </c>
      <c r="I201" t="s">
        <v>15</v>
      </c>
      <c r="J201" t="s">
        <v>44</v>
      </c>
      <c r="K201">
        <v>72</v>
      </c>
      <c r="L201">
        <v>6000</v>
      </c>
      <c r="M201" t="s">
        <v>25</v>
      </c>
    </row>
    <row r="202" spans="1:13">
      <c r="A202">
        <v>201</v>
      </c>
      <c r="B202" t="s">
        <v>13</v>
      </c>
      <c r="C202">
        <v>43</v>
      </c>
      <c r="D202" t="s">
        <v>49</v>
      </c>
      <c r="E202">
        <v>6.5</v>
      </c>
      <c r="F202">
        <v>6</v>
      </c>
      <c r="G202">
        <v>45</v>
      </c>
      <c r="H202">
        <v>7</v>
      </c>
      <c r="I202" t="s">
        <v>15</v>
      </c>
      <c r="J202" t="s">
        <v>44</v>
      </c>
      <c r="K202">
        <v>72</v>
      </c>
      <c r="L202">
        <v>6000</v>
      </c>
      <c r="M202" t="s">
        <v>25</v>
      </c>
    </row>
    <row r="203" spans="1:13">
      <c r="A203">
        <v>202</v>
      </c>
      <c r="B203" t="s">
        <v>13</v>
      </c>
      <c r="C203">
        <v>43</v>
      </c>
      <c r="D203" t="s">
        <v>33</v>
      </c>
      <c r="E203">
        <v>7.8</v>
      </c>
      <c r="F203">
        <v>8</v>
      </c>
      <c r="G203">
        <v>90</v>
      </c>
      <c r="H203">
        <v>5</v>
      </c>
      <c r="I203" t="s">
        <v>19</v>
      </c>
      <c r="J203" t="s">
        <v>44</v>
      </c>
      <c r="K203">
        <v>70</v>
      </c>
      <c r="L203">
        <v>8000</v>
      </c>
      <c r="M203" t="s">
        <v>25</v>
      </c>
    </row>
    <row r="204" spans="1:13">
      <c r="A204">
        <v>203</v>
      </c>
      <c r="B204" t="s">
        <v>13</v>
      </c>
      <c r="C204">
        <v>43</v>
      </c>
      <c r="D204" t="s">
        <v>33</v>
      </c>
      <c r="E204">
        <v>7.8</v>
      </c>
      <c r="F204">
        <v>8</v>
      </c>
      <c r="G204">
        <v>90</v>
      </c>
      <c r="H204">
        <v>5</v>
      </c>
      <c r="I204" t="s">
        <v>19</v>
      </c>
      <c r="J204" t="s">
        <v>44</v>
      </c>
      <c r="K204">
        <v>70</v>
      </c>
      <c r="L204">
        <v>8000</v>
      </c>
      <c r="M204" t="s">
        <v>25</v>
      </c>
    </row>
    <row r="205" spans="1:13">
      <c r="A205">
        <v>204</v>
      </c>
      <c r="B205" t="s">
        <v>13</v>
      </c>
      <c r="C205">
        <v>43</v>
      </c>
      <c r="D205" t="s">
        <v>33</v>
      </c>
      <c r="E205">
        <v>6.9</v>
      </c>
      <c r="F205">
        <v>6</v>
      </c>
      <c r="G205">
        <v>47</v>
      </c>
      <c r="H205">
        <v>7</v>
      </c>
      <c r="I205" t="s">
        <v>19</v>
      </c>
      <c r="J205" t="s">
        <v>32</v>
      </c>
      <c r="K205">
        <v>69</v>
      </c>
      <c r="L205">
        <v>6800</v>
      </c>
      <c r="M205" t="s">
        <v>17</v>
      </c>
    </row>
    <row r="206" spans="1:13">
      <c r="A206">
        <v>205</v>
      </c>
      <c r="B206" t="s">
        <v>13</v>
      </c>
      <c r="C206">
        <v>43</v>
      </c>
      <c r="D206" t="s">
        <v>33</v>
      </c>
      <c r="E206">
        <v>7.6</v>
      </c>
      <c r="F206">
        <v>8</v>
      </c>
      <c r="G206">
        <v>75</v>
      </c>
      <c r="H206">
        <v>4</v>
      </c>
      <c r="I206" t="s">
        <v>15</v>
      </c>
      <c r="J206" t="s">
        <v>51</v>
      </c>
      <c r="K206">
        <v>68</v>
      </c>
      <c r="L206">
        <v>6800</v>
      </c>
      <c r="M206" t="s">
        <v>17</v>
      </c>
    </row>
    <row r="207" spans="1:13">
      <c r="A207">
        <v>206</v>
      </c>
      <c r="B207" t="s">
        <v>13</v>
      </c>
      <c r="C207">
        <v>43</v>
      </c>
      <c r="D207" t="s">
        <v>33</v>
      </c>
      <c r="E207">
        <v>7.7</v>
      </c>
      <c r="F207">
        <v>8</v>
      </c>
      <c r="G207">
        <v>90</v>
      </c>
      <c r="H207">
        <v>5</v>
      </c>
      <c r="I207" t="s">
        <v>19</v>
      </c>
      <c r="J207" t="s">
        <v>44</v>
      </c>
      <c r="K207">
        <v>70</v>
      </c>
      <c r="L207">
        <v>8000</v>
      </c>
      <c r="M207" t="s">
        <v>17</v>
      </c>
    </row>
    <row r="208" spans="1:13">
      <c r="A208">
        <v>207</v>
      </c>
      <c r="B208" t="s">
        <v>13</v>
      </c>
      <c r="C208">
        <v>43</v>
      </c>
      <c r="D208" t="s">
        <v>33</v>
      </c>
      <c r="E208">
        <v>7.7</v>
      </c>
      <c r="F208">
        <v>8</v>
      </c>
      <c r="G208">
        <v>90</v>
      </c>
      <c r="H208">
        <v>5</v>
      </c>
      <c r="I208" t="s">
        <v>19</v>
      </c>
      <c r="J208" t="s">
        <v>44</v>
      </c>
      <c r="K208">
        <v>70</v>
      </c>
      <c r="L208">
        <v>8000</v>
      </c>
      <c r="M208" t="s">
        <v>17</v>
      </c>
    </row>
    <row r="209" spans="1:13">
      <c r="A209">
        <v>208</v>
      </c>
      <c r="B209" t="s">
        <v>13</v>
      </c>
      <c r="C209">
        <v>43</v>
      </c>
      <c r="D209" t="s">
        <v>33</v>
      </c>
      <c r="E209">
        <v>7.7</v>
      </c>
      <c r="F209">
        <v>8</v>
      </c>
      <c r="G209">
        <v>90</v>
      </c>
      <c r="H209">
        <v>5</v>
      </c>
      <c r="I209" t="s">
        <v>19</v>
      </c>
      <c r="J209" t="s">
        <v>44</v>
      </c>
      <c r="K209">
        <v>70</v>
      </c>
      <c r="L209">
        <v>8000</v>
      </c>
      <c r="M209" t="s">
        <v>17</v>
      </c>
    </row>
    <row r="210" spans="1:13">
      <c r="A210">
        <v>209</v>
      </c>
      <c r="B210" t="s">
        <v>13</v>
      </c>
      <c r="C210">
        <v>43</v>
      </c>
      <c r="D210" t="s">
        <v>33</v>
      </c>
      <c r="E210">
        <v>7.7</v>
      </c>
      <c r="F210">
        <v>8</v>
      </c>
      <c r="G210">
        <v>90</v>
      </c>
      <c r="H210">
        <v>5</v>
      </c>
      <c r="I210" t="s">
        <v>19</v>
      </c>
      <c r="J210" t="s">
        <v>44</v>
      </c>
      <c r="K210">
        <v>70</v>
      </c>
      <c r="L210">
        <v>8000</v>
      </c>
      <c r="M210" t="s">
        <v>17</v>
      </c>
    </row>
    <row r="211" spans="1:13">
      <c r="A211">
        <v>210</v>
      </c>
      <c r="B211" t="s">
        <v>13</v>
      </c>
      <c r="C211">
        <v>43</v>
      </c>
      <c r="D211" t="s">
        <v>33</v>
      </c>
      <c r="E211">
        <v>7.8</v>
      </c>
      <c r="F211">
        <v>8</v>
      </c>
      <c r="G211">
        <v>90</v>
      </c>
      <c r="H211">
        <v>5</v>
      </c>
      <c r="I211" t="s">
        <v>19</v>
      </c>
      <c r="J211" t="s">
        <v>44</v>
      </c>
      <c r="K211">
        <v>70</v>
      </c>
      <c r="L211">
        <v>8000</v>
      </c>
      <c r="M211" t="s">
        <v>17</v>
      </c>
    </row>
    <row r="212" spans="1:13">
      <c r="A212">
        <v>211</v>
      </c>
      <c r="B212" t="s">
        <v>13</v>
      </c>
      <c r="C212">
        <v>43</v>
      </c>
      <c r="D212" t="s">
        <v>33</v>
      </c>
      <c r="E212">
        <v>7.7</v>
      </c>
      <c r="F212">
        <v>8</v>
      </c>
      <c r="G212">
        <v>90</v>
      </c>
      <c r="H212">
        <v>5</v>
      </c>
      <c r="I212" t="s">
        <v>19</v>
      </c>
      <c r="J212" t="s">
        <v>44</v>
      </c>
      <c r="K212">
        <v>70</v>
      </c>
      <c r="L212">
        <v>8000</v>
      </c>
      <c r="M212" t="s">
        <v>17</v>
      </c>
    </row>
    <row r="213" spans="1:13">
      <c r="A213">
        <v>212</v>
      </c>
      <c r="B213" t="s">
        <v>13</v>
      </c>
      <c r="C213">
        <v>43</v>
      </c>
      <c r="D213" t="s">
        <v>33</v>
      </c>
      <c r="E213">
        <v>7.8</v>
      </c>
      <c r="F213">
        <v>8</v>
      </c>
      <c r="G213">
        <v>90</v>
      </c>
      <c r="H213">
        <v>5</v>
      </c>
      <c r="I213" t="s">
        <v>19</v>
      </c>
      <c r="J213" t="s">
        <v>44</v>
      </c>
      <c r="K213">
        <v>70</v>
      </c>
      <c r="L213">
        <v>8000</v>
      </c>
      <c r="M213" t="s">
        <v>17</v>
      </c>
    </row>
    <row r="214" spans="1:13">
      <c r="A214">
        <v>213</v>
      </c>
      <c r="B214" t="s">
        <v>13</v>
      </c>
      <c r="C214">
        <v>43</v>
      </c>
      <c r="D214" t="s">
        <v>33</v>
      </c>
      <c r="E214">
        <v>7.8</v>
      </c>
      <c r="F214">
        <v>8</v>
      </c>
      <c r="G214">
        <v>90</v>
      </c>
      <c r="H214">
        <v>5</v>
      </c>
      <c r="I214" t="s">
        <v>19</v>
      </c>
      <c r="J214" t="s">
        <v>44</v>
      </c>
      <c r="K214">
        <v>70</v>
      </c>
      <c r="L214">
        <v>8000</v>
      </c>
      <c r="M214" t="s">
        <v>17</v>
      </c>
    </row>
    <row r="215" spans="1:13">
      <c r="A215">
        <v>214</v>
      </c>
      <c r="B215" t="s">
        <v>13</v>
      </c>
      <c r="C215">
        <v>43</v>
      </c>
      <c r="D215" t="s">
        <v>33</v>
      </c>
      <c r="E215">
        <v>7.8</v>
      </c>
      <c r="F215">
        <v>8</v>
      </c>
      <c r="G215">
        <v>90</v>
      </c>
      <c r="H215">
        <v>5</v>
      </c>
      <c r="I215" t="s">
        <v>19</v>
      </c>
      <c r="J215" t="s">
        <v>44</v>
      </c>
      <c r="K215">
        <v>70</v>
      </c>
      <c r="L215">
        <v>8000</v>
      </c>
      <c r="M215" t="s">
        <v>17</v>
      </c>
    </row>
    <row r="216" spans="1:13">
      <c r="A216">
        <v>215</v>
      </c>
      <c r="B216" t="s">
        <v>13</v>
      </c>
      <c r="C216">
        <v>43</v>
      </c>
      <c r="D216" t="s">
        <v>33</v>
      </c>
      <c r="E216">
        <v>7.8</v>
      </c>
      <c r="F216">
        <v>8</v>
      </c>
      <c r="G216">
        <v>90</v>
      </c>
      <c r="H216">
        <v>5</v>
      </c>
      <c r="I216" t="s">
        <v>19</v>
      </c>
      <c r="J216" t="s">
        <v>44</v>
      </c>
      <c r="K216">
        <v>70</v>
      </c>
      <c r="L216">
        <v>8000</v>
      </c>
      <c r="M216" t="s">
        <v>17</v>
      </c>
    </row>
    <row r="217" spans="1:13">
      <c r="A217">
        <v>216</v>
      </c>
      <c r="B217" t="s">
        <v>13</v>
      </c>
      <c r="C217">
        <v>43</v>
      </c>
      <c r="D217" t="s">
        <v>33</v>
      </c>
      <c r="E217">
        <v>7.8</v>
      </c>
      <c r="F217">
        <v>8</v>
      </c>
      <c r="G217">
        <v>90</v>
      </c>
      <c r="H217">
        <v>5</v>
      </c>
      <c r="I217" t="s">
        <v>19</v>
      </c>
      <c r="J217" t="s">
        <v>44</v>
      </c>
      <c r="K217">
        <v>70</v>
      </c>
      <c r="L217">
        <v>8000</v>
      </c>
      <c r="M217" t="s">
        <v>17</v>
      </c>
    </row>
    <row r="218" spans="1:13">
      <c r="A218">
        <v>217</v>
      </c>
      <c r="B218" t="s">
        <v>13</v>
      </c>
      <c r="C218">
        <v>43</v>
      </c>
      <c r="D218" t="s">
        <v>33</v>
      </c>
      <c r="E218">
        <v>7.8</v>
      </c>
      <c r="F218">
        <v>8</v>
      </c>
      <c r="G218">
        <v>90</v>
      </c>
      <c r="H218">
        <v>5</v>
      </c>
      <c r="I218" t="s">
        <v>19</v>
      </c>
      <c r="J218" t="s">
        <v>44</v>
      </c>
      <c r="K218">
        <v>70</v>
      </c>
      <c r="L218">
        <v>8000</v>
      </c>
      <c r="M218" t="s">
        <v>17</v>
      </c>
    </row>
    <row r="219" spans="1:13">
      <c r="A219">
        <v>218</v>
      </c>
      <c r="B219" t="s">
        <v>13</v>
      </c>
      <c r="C219">
        <v>43</v>
      </c>
      <c r="D219" t="s">
        <v>33</v>
      </c>
      <c r="E219">
        <v>7.8</v>
      </c>
      <c r="F219">
        <v>8</v>
      </c>
      <c r="G219">
        <v>90</v>
      </c>
      <c r="H219">
        <v>5</v>
      </c>
      <c r="I219" t="s">
        <v>19</v>
      </c>
      <c r="J219" t="s">
        <v>44</v>
      </c>
      <c r="K219">
        <v>70</v>
      </c>
      <c r="L219">
        <v>8000</v>
      </c>
      <c r="M219" t="s">
        <v>17</v>
      </c>
    </row>
    <row r="220" spans="1:13">
      <c r="A220">
        <v>219</v>
      </c>
      <c r="B220" t="s">
        <v>13</v>
      </c>
      <c r="C220">
        <v>43</v>
      </c>
      <c r="D220" t="s">
        <v>33</v>
      </c>
      <c r="E220">
        <v>7.8</v>
      </c>
      <c r="F220">
        <v>8</v>
      </c>
      <c r="G220">
        <v>90</v>
      </c>
      <c r="H220">
        <v>5</v>
      </c>
      <c r="I220" t="s">
        <v>19</v>
      </c>
      <c r="J220" t="s">
        <v>44</v>
      </c>
      <c r="K220">
        <v>70</v>
      </c>
      <c r="L220">
        <v>8000</v>
      </c>
      <c r="M220" t="s">
        <v>24</v>
      </c>
    </row>
    <row r="221" spans="1:13">
      <c r="A221">
        <v>220</v>
      </c>
      <c r="B221" t="s">
        <v>13</v>
      </c>
      <c r="C221">
        <v>43</v>
      </c>
      <c r="D221" t="s">
        <v>49</v>
      </c>
      <c r="E221">
        <v>6.5</v>
      </c>
      <c r="F221">
        <v>6</v>
      </c>
      <c r="G221">
        <v>45</v>
      </c>
      <c r="H221">
        <v>7</v>
      </c>
      <c r="I221" t="s">
        <v>15</v>
      </c>
      <c r="J221" t="s">
        <v>44</v>
      </c>
      <c r="K221">
        <v>72</v>
      </c>
      <c r="L221">
        <v>6000</v>
      </c>
      <c r="M221" t="s">
        <v>24</v>
      </c>
    </row>
    <row r="222" spans="1:13">
      <c r="A222">
        <v>221</v>
      </c>
      <c r="B222" t="s">
        <v>28</v>
      </c>
      <c r="C222">
        <v>44</v>
      </c>
      <c r="D222" t="s">
        <v>26</v>
      </c>
      <c r="E222">
        <v>6.6</v>
      </c>
      <c r="F222">
        <v>7</v>
      </c>
      <c r="G222">
        <v>45</v>
      </c>
      <c r="H222">
        <v>4</v>
      </c>
      <c r="I222" t="s">
        <v>15</v>
      </c>
      <c r="J222" t="s">
        <v>50</v>
      </c>
      <c r="K222">
        <v>65</v>
      </c>
      <c r="L222">
        <v>6000</v>
      </c>
      <c r="M222" t="s">
        <v>25</v>
      </c>
    </row>
    <row r="223" spans="1:13">
      <c r="A223">
        <v>222</v>
      </c>
      <c r="B223" t="s">
        <v>13</v>
      </c>
      <c r="C223">
        <v>44</v>
      </c>
      <c r="D223" t="s">
        <v>49</v>
      </c>
      <c r="E223">
        <v>6.4</v>
      </c>
      <c r="F223">
        <v>6</v>
      </c>
      <c r="G223">
        <v>45</v>
      </c>
      <c r="H223">
        <v>7</v>
      </c>
      <c r="I223" t="s">
        <v>15</v>
      </c>
      <c r="J223" t="s">
        <v>44</v>
      </c>
      <c r="K223">
        <v>72</v>
      </c>
      <c r="L223">
        <v>6000</v>
      </c>
      <c r="M223" t="s">
        <v>25</v>
      </c>
    </row>
    <row r="224" spans="1:13">
      <c r="A224">
        <v>223</v>
      </c>
      <c r="B224" t="s">
        <v>13</v>
      </c>
      <c r="C224">
        <v>44</v>
      </c>
      <c r="D224" t="s">
        <v>49</v>
      </c>
      <c r="E224">
        <v>6.3</v>
      </c>
      <c r="F224">
        <v>6</v>
      </c>
      <c r="G224">
        <v>45</v>
      </c>
      <c r="H224">
        <v>7</v>
      </c>
      <c r="I224" t="s">
        <v>15</v>
      </c>
      <c r="J224" t="s">
        <v>44</v>
      </c>
      <c r="K224">
        <v>72</v>
      </c>
      <c r="L224">
        <v>6000</v>
      </c>
      <c r="M224" t="s">
        <v>25</v>
      </c>
    </row>
    <row r="225" spans="1:13">
      <c r="A225">
        <v>224</v>
      </c>
      <c r="B225" t="s">
        <v>13</v>
      </c>
      <c r="C225">
        <v>44</v>
      </c>
      <c r="D225" t="s">
        <v>49</v>
      </c>
      <c r="E225">
        <v>6.4</v>
      </c>
      <c r="F225">
        <v>6</v>
      </c>
      <c r="G225">
        <v>45</v>
      </c>
      <c r="H225">
        <v>7</v>
      </c>
      <c r="I225" t="s">
        <v>15</v>
      </c>
      <c r="J225" t="s">
        <v>44</v>
      </c>
      <c r="K225">
        <v>72</v>
      </c>
      <c r="L225">
        <v>6000</v>
      </c>
      <c r="M225" t="s">
        <v>25</v>
      </c>
    </row>
    <row r="226" spans="1:13">
      <c r="A226">
        <v>225</v>
      </c>
      <c r="B226" t="s">
        <v>28</v>
      </c>
      <c r="C226">
        <v>44</v>
      </c>
      <c r="D226" t="s">
        <v>26</v>
      </c>
      <c r="E226">
        <v>6.6</v>
      </c>
      <c r="F226">
        <v>7</v>
      </c>
      <c r="G226">
        <v>45</v>
      </c>
      <c r="H226">
        <v>4</v>
      </c>
      <c r="I226" t="s">
        <v>15</v>
      </c>
      <c r="J226" t="s">
        <v>50</v>
      </c>
      <c r="K226">
        <v>65</v>
      </c>
      <c r="L226">
        <v>6000</v>
      </c>
      <c r="M226" t="s">
        <v>25</v>
      </c>
    </row>
    <row r="227" spans="1:13">
      <c r="A227">
        <v>226</v>
      </c>
      <c r="B227" t="s">
        <v>13</v>
      </c>
      <c r="C227">
        <v>44</v>
      </c>
      <c r="D227" t="s">
        <v>49</v>
      </c>
      <c r="E227">
        <v>6.3</v>
      </c>
      <c r="F227">
        <v>6</v>
      </c>
      <c r="G227">
        <v>45</v>
      </c>
      <c r="H227">
        <v>7</v>
      </c>
      <c r="I227" t="s">
        <v>15</v>
      </c>
      <c r="J227" t="s">
        <v>44</v>
      </c>
      <c r="K227">
        <v>72</v>
      </c>
      <c r="L227">
        <v>6000</v>
      </c>
      <c r="M227" t="s">
        <v>25</v>
      </c>
    </row>
    <row r="228" spans="1:13">
      <c r="A228">
        <v>227</v>
      </c>
      <c r="B228" t="s">
        <v>28</v>
      </c>
      <c r="C228">
        <v>44</v>
      </c>
      <c r="D228" t="s">
        <v>26</v>
      </c>
      <c r="E228">
        <v>6.6</v>
      </c>
      <c r="F228">
        <v>7</v>
      </c>
      <c r="G228">
        <v>45</v>
      </c>
      <c r="H228">
        <v>4</v>
      </c>
      <c r="I228" t="s">
        <v>15</v>
      </c>
      <c r="J228" t="s">
        <v>50</v>
      </c>
      <c r="K228">
        <v>65</v>
      </c>
      <c r="L228">
        <v>6000</v>
      </c>
      <c r="M228" t="s">
        <v>25</v>
      </c>
    </row>
    <row r="229" spans="1:13">
      <c r="A229">
        <v>228</v>
      </c>
      <c r="B229" t="s">
        <v>13</v>
      </c>
      <c r="C229">
        <v>44</v>
      </c>
      <c r="D229" t="s">
        <v>49</v>
      </c>
      <c r="E229">
        <v>6.3</v>
      </c>
      <c r="F229">
        <v>6</v>
      </c>
      <c r="G229">
        <v>45</v>
      </c>
      <c r="H229">
        <v>7</v>
      </c>
      <c r="I229" t="s">
        <v>15</v>
      </c>
      <c r="J229" t="s">
        <v>44</v>
      </c>
      <c r="K229">
        <v>72</v>
      </c>
      <c r="L229">
        <v>6000</v>
      </c>
      <c r="M229" t="s">
        <v>25</v>
      </c>
    </row>
    <row r="230" spans="1:13">
      <c r="A230">
        <v>229</v>
      </c>
      <c r="B230" t="s">
        <v>28</v>
      </c>
      <c r="C230">
        <v>44</v>
      </c>
      <c r="D230" t="s">
        <v>26</v>
      </c>
      <c r="E230">
        <v>6.6</v>
      </c>
      <c r="F230">
        <v>7</v>
      </c>
      <c r="G230">
        <v>45</v>
      </c>
      <c r="H230">
        <v>4</v>
      </c>
      <c r="I230" t="s">
        <v>15</v>
      </c>
      <c r="J230" t="s">
        <v>50</v>
      </c>
      <c r="K230">
        <v>65</v>
      </c>
      <c r="L230">
        <v>6000</v>
      </c>
      <c r="M230" t="s">
        <v>25</v>
      </c>
    </row>
    <row r="231" spans="1:13">
      <c r="A231">
        <v>230</v>
      </c>
      <c r="B231" t="s">
        <v>13</v>
      </c>
      <c r="C231">
        <v>44</v>
      </c>
      <c r="D231" t="s">
        <v>49</v>
      </c>
      <c r="E231">
        <v>6.3</v>
      </c>
      <c r="F231">
        <v>6</v>
      </c>
      <c r="G231">
        <v>45</v>
      </c>
      <c r="H231">
        <v>7</v>
      </c>
      <c r="I231" t="s">
        <v>15</v>
      </c>
      <c r="J231" t="s">
        <v>44</v>
      </c>
      <c r="K231">
        <v>72</v>
      </c>
      <c r="L231">
        <v>6000</v>
      </c>
      <c r="M231" t="s">
        <v>25</v>
      </c>
    </row>
    <row r="232" spans="1:13">
      <c r="A232">
        <v>231</v>
      </c>
      <c r="B232" t="s">
        <v>28</v>
      </c>
      <c r="C232">
        <v>44</v>
      </c>
      <c r="D232" t="s">
        <v>26</v>
      </c>
      <c r="E232">
        <v>6.6</v>
      </c>
      <c r="F232">
        <v>7</v>
      </c>
      <c r="G232">
        <v>45</v>
      </c>
      <c r="H232">
        <v>4</v>
      </c>
      <c r="I232" t="s">
        <v>15</v>
      </c>
      <c r="J232" t="s">
        <v>50</v>
      </c>
      <c r="K232">
        <v>65</v>
      </c>
      <c r="L232">
        <v>6000</v>
      </c>
      <c r="M232" t="s">
        <v>25</v>
      </c>
    </row>
    <row r="233" spans="1:13">
      <c r="A233">
        <v>232</v>
      </c>
      <c r="B233" t="s">
        <v>13</v>
      </c>
      <c r="C233">
        <v>44</v>
      </c>
      <c r="D233" t="s">
        <v>49</v>
      </c>
      <c r="E233">
        <v>6.3</v>
      </c>
      <c r="F233">
        <v>6</v>
      </c>
      <c r="G233">
        <v>45</v>
      </c>
      <c r="H233">
        <v>7</v>
      </c>
      <c r="I233" t="s">
        <v>15</v>
      </c>
      <c r="J233" t="s">
        <v>44</v>
      </c>
      <c r="K233">
        <v>72</v>
      </c>
      <c r="L233">
        <v>6000</v>
      </c>
      <c r="M233" t="s">
        <v>25</v>
      </c>
    </row>
    <row r="234" spans="1:13">
      <c r="A234">
        <v>233</v>
      </c>
      <c r="B234" t="s">
        <v>28</v>
      </c>
      <c r="C234">
        <v>44</v>
      </c>
      <c r="D234" t="s">
        <v>26</v>
      </c>
      <c r="E234">
        <v>6.6</v>
      </c>
      <c r="F234">
        <v>7</v>
      </c>
      <c r="G234">
        <v>45</v>
      </c>
      <c r="H234">
        <v>4</v>
      </c>
      <c r="I234" t="s">
        <v>15</v>
      </c>
      <c r="J234" t="s">
        <v>50</v>
      </c>
      <c r="K234">
        <v>65</v>
      </c>
      <c r="L234">
        <v>6000</v>
      </c>
      <c r="M234" t="s">
        <v>25</v>
      </c>
    </row>
    <row r="235" spans="1:13">
      <c r="A235">
        <v>234</v>
      </c>
      <c r="B235" t="s">
        <v>13</v>
      </c>
      <c r="C235">
        <v>44</v>
      </c>
      <c r="D235" t="s">
        <v>49</v>
      </c>
      <c r="E235">
        <v>6.3</v>
      </c>
      <c r="F235">
        <v>6</v>
      </c>
      <c r="G235">
        <v>45</v>
      </c>
      <c r="H235">
        <v>7</v>
      </c>
      <c r="I235" t="s">
        <v>15</v>
      </c>
      <c r="J235" t="s">
        <v>44</v>
      </c>
      <c r="K235">
        <v>72</v>
      </c>
      <c r="L235">
        <v>6000</v>
      </c>
      <c r="M235" t="s">
        <v>25</v>
      </c>
    </row>
    <row r="236" spans="1:13">
      <c r="A236">
        <v>235</v>
      </c>
      <c r="B236" t="s">
        <v>28</v>
      </c>
      <c r="C236">
        <v>44</v>
      </c>
      <c r="D236" t="s">
        <v>26</v>
      </c>
      <c r="E236">
        <v>6.6</v>
      </c>
      <c r="F236">
        <v>7</v>
      </c>
      <c r="G236">
        <v>45</v>
      </c>
      <c r="H236">
        <v>4</v>
      </c>
      <c r="I236" t="s">
        <v>15</v>
      </c>
      <c r="J236" t="s">
        <v>50</v>
      </c>
      <c r="K236">
        <v>65</v>
      </c>
      <c r="L236">
        <v>6000</v>
      </c>
      <c r="M236" t="s">
        <v>25</v>
      </c>
    </row>
    <row r="237" spans="1:13">
      <c r="A237">
        <v>236</v>
      </c>
      <c r="B237" t="s">
        <v>13</v>
      </c>
      <c r="C237">
        <v>44</v>
      </c>
      <c r="D237" t="s">
        <v>49</v>
      </c>
      <c r="E237">
        <v>6.3</v>
      </c>
      <c r="F237">
        <v>6</v>
      </c>
      <c r="G237">
        <v>45</v>
      </c>
      <c r="H237">
        <v>7</v>
      </c>
      <c r="I237" t="s">
        <v>15</v>
      </c>
      <c r="J237" t="s">
        <v>44</v>
      </c>
      <c r="K237">
        <v>72</v>
      </c>
      <c r="L237">
        <v>6000</v>
      </c>
      <c r="M237" t="s">
        <v>25</v>
      </c>
    </row>
    <row r="238" spans="1:13">
      <c r="A238">
        <v>237</v>
      </c>
      <c r="B238" t="s">
        <v>13</v>
      </c>
      <c r="C238">
        <v>44</v>
      </c>
      <c r="D238" t="s">
        <v>49</v>
      </c>
      <c r="E238">
        <v>6.4</v>
      </c>
      <c r="F238">
        <v>6</v>
      </c>
      <c r="G238">
        <v>45</v>
      </c>
      <c r="H238">
        <v>7</v>
      </c>
      <c r="I238" t="s">
        <v>15</v>
      </c>
      <c r="J238" t="s">
        <v>44</v>
      </c>
      <c r="K238">
        <v>72</v>
      </c>
      <c r="L238">
        <v>6000</v>
      </c>
      <c r="M238" t="s">
        <v>25</v>
      </c>
    </row>
    <row r="239" spans="1:13">
      <c r="A239">
        <v>238</v>
      </c>
      <c r="B239" t="s">
        <v>28</v>
      </c>
      <c r="C239">
        <v>44</v>
      </c>
      <c r="D239" t="s">
        <v>26</v>
      </c>
      <c r="E239">
        <v>6.5</v>
      </c>
      <c r="F239">
        <v>7</v>
      </c>
      <c r="G239">
        <v>45</v>
      </c>
      <c r="H239">
        <v>4</v>
      </c>
      <c r="I239" t="s">
        <v>15</v>
      </c>
      <c r="J239" t="s">
        <v>50</v>
      </c>
      <c r="K239">
        <v>65</v>
      </c>
      <c r="L239">
        <v>6000</v>
      </c>
      <c r="M239" t="s">
        <v>25</v>
      </c>
    </row>
    <row r="240" spans="1:13">
      <c r="A240">
        <v>239</v>
      </c>
      <c r="B240" t="s">
        <v>13</v>
      </c>
      <c r="C240">
        <v>44</v>
      </c>
      <c r="D240" t="s">
        <v>49</v>
      </c>
      <c r="E240">
        <v>6.3</v>
      </c>
      <c r="F240">
        <v>6</v>
      </c>
      <c r="G240">
        <v>45</v>
      </c>
      <c r="H240">
        <v>7</v>
      </c>
      <c r="I240" t="s">
        <v>15</v>
      </c>
      <c r="J240" t="s">
        <v>44</v>
      </c>
      <c r="K240">
        <v>72</v>
      </c>
      <c r="L240">
        <v>6000</v>
      </c>
      <c r="M240" t="s">
        <v>25</v>
      </c>
    </row>
    <row r="241" spans="1:13">
      <c r="A241">
        <v>240</v>
      </c>
      <c r="B241" t="s">
        <v>13</v>
      </c>
      <c r="C241">
        <v>44</v>
      </c>
      <c r="D241" t="s">
        <v>49</v>
      </c>
      <c r="E241">
        <v>6.4</v>
      </c>
      <c r="F241">
        <v>6</v>
      </c>
      <c r="G241">
        <v>45</v>
      </c>
      <c r="H241">
        <v>7</v>
      </c>
      <c r="I241" t="s">
        <v>15</v>
      </c>
      <c r="J241" t="s">
        <v>44</v>
      </c>
      <c r="K241">
        <v>72</v>
      </c>
      <c r="L241">
        <v>6000</v>
      </c>
      <c r="M241" t="s">
        <v>25</v>
      </c>
    </row>
    <row r="242" spans="1:13">
      <c r="A242">
        <v>241</v>
      </c>
      <c r="B242" t="s">
        <v>28</v>
      </c>
      <c r="C242">
        <v>44</v>
      </c>
      <c r="D242" t="s">
        <v>26</v>
      </c>
      <c r="E242">
        <v>6.5</v>
      </c>
      <c r="F242">
        <v>7</v>
      </c>
      <c r="G242">
        <v>45</v>
      </c>
      <c r="H242">
        <v>4</v>
      </c>
      <c r="I242" t="s">
        <v>15</v>
      </c>
      <c r="J242" t="s">
        <v>50</v>
      </c>
      <c r="K242">
        <v>65</v>
      </c>
      <c r="L242">
        <v>6000</v>
      </c>
      <c r="M242" t="s">
        <v>25</v>
      </c>
    </row>
    <row r="243" spans="1:13">
      <c r="A243">
        <v>242</v>
      </c>
      <c r="B243" t="s">
        <v>13</v>
      </c>
      <c r="C243">
        <v>44</v>
      </c>
      <c r="D243" t="s">
        <v>49</v>
      </c>
      <c r="E243">
        <v>6.3</v>
      </c>
      <c r="F243">
        <v>6</v>
      </c>
      <c r="G243">
        <v>45</v>
      </c>
      <c r="H243">
        <v>7</v>
      </c>
      <c r="I243" t="s">
        <v>15</v>
      </c>
      <c r="J243" t="s">
        <v>44</v>
      </c>
      <c r="K243">
        <v>72</v>
      </c>
      <c r="L243">
        <v>6000</v>
      </c>
      <c r="M243" t="s">
        <v>25</v>
      </c>
    </row>
    <row r="244" spans="1:13">
      <c r="A244">
        <v>243</v>
      </c>
      <c r="B244" t="s">
        <v>13</v>
      </c>
      <c r="C244">
        <v>44</v>
      </c>
      <c r="D244" t="s">
        <v>49</v>
      </c>
      <c r="E244">
        <v>6.4</v>
      </c>
      <c r="F244">
        <v>6</v>
      </c>
      <c r="G244">
        <v>45</v>
      </c>
      <c r="H244">
        <v>7</v>
      </c>
      <c r="I244" t="s">
        <v>15</v>
      </c>
      <c r="J244" t="s">
        <v>44</v>
      </c>
      <c r="K244">
        <v>72</v>
      </c>
      <c r="L244">
        <v>6000</v>
      </c>
      <c r="M244" t="s">
        <v>25</v>
      </c>
    </row>
    <row r="245" spans="1:13">
      <c r="A245">
        <v>244</v>
      </c>
      <c r="B245" t="s">
        <v>28</v>
      </c>
      <c r="C245">
        <v>44</v>
      </c>
      <c r="D245" t="s">
        <v>26</v>
      </c>
      <c r="E245">
        <v>6.5</v>
      </c>
      <c r="F245">
        <v>7</v>
      </c>
      <c r="G245">
        <v>45</v>
      </c>
      <c r="H245">
        <v>4</v>
      </c>
      <c r="I245" t="s">
        <v>15</v>
      </c>
      <c r="J245" t="s">
        <v>50</v>
      </c>
      <c r="K245">
        <v>65</v>
      </c>
      <c r="L245">
        <v>6000</v>
      </c>
      <c r="M245" t="s">
        <v>25</v>
      </c>
    </row>
    <row r="246" spans="1:13">
      <c r="A246">
        <v>245</v>
      </c>
      <c r="B246" t="s">
        <v>13</v>
      </c>
      <c r="C246">
        <v>44</v>
      </c>
      <c r="D246" t="s">
        <v>49</v>
      </c>
      <c r="E246">
        <v>6.3</v>
      </c>
      <c r="F246">
        <v>6</v>
      </c>
      <c r="G246">
        <v>45</v>
      </c>
      <c r="H246">
        <v>7</v>
      </c>
      <c r="I246" t="s">
        <v>15</v>
      </c>
      <c r="J246" t="s">
        <v>44</v>
      </c>
      <c r="K246">
        <v>72</v>
      </c>
      <c r="L246">
        <v>6000</v>
      </c>
      <c r="M246" t="s">
        <v>25</v>
      </c>
    </row>
    <row r="247" spans="1:13">
      <c r="A247">
        <v>246</v>
      </c>
      <c r="B247" t="s">
        <v>28</v>
      </c>
      <c r="C247">
        <v>44</v>
      </c>
      <c r="D247" t="s">
        <v>26</v>
      </c>
      <c r="E247">
        <v>6.5</v>
      </c>
      <c r="F247">
        <v>7</v>
      </c>
      <c r="G247">
        <v>45</v>
      </c>
      <c r="H247">
        <v>4</v>
      </c>
      <c r="I247" t="s">
        <v>15</v>
      </c>
      <c r="J247" t="s">
        <v>50</v>
      </c>
      <c r="K247">
        <v>65</v>
      </c>
      <c r="L247">
        <v>6000</v>
      </c>
      <c r="M247" t="s">
        <v>25</v>
      </c>
    </row>
    <row r="248" spans="1:13">
      <c r="A248">
        <v>247</v>
      </c>
      <c r="B248" t="s">
        <v>13</v>
      </c>
      <c r="C248">
        <v>44</v>
      </c>
      <c r="D248" t="s">
        <v>49</v>
      </c>
      <c r="E248">
        <v>6.3</v>
      </c>
      <c r="F248">
        <v>6</v>
      </c>
      <c r="G248">
        <v>45</v>
      </c>
      <c r="H248">
        <v>7</v>
      </c>
      <c r="I248" t="s">
        <v>15</v>
      </c>
      <c r="J248" t="s">
        <v>44</v>
      </c>
      <c r="K248">
        <v>72</v>
      </c>
      <c r="L248">
        <v>6000</v>
      </c>
      <c r="M248" t="s">
        <v>25</v>
      </c>
    </row>
    <row r="249" spans="1:13">
      <c r="A249">
        <v>248</v>
      </c>
      <c r="B249" t="s">
        <v>13</v>
      </c>
      <c r="C249">
        <v>44</v>
      </c>
      <c r="D249" t="s">
        <v>33</v>
      </c>
      <c r="E249">
        <v>6.8</v>
      </c>
      <c r="F249">
        <v>7</v>
      </c>
      <c r="G249">
        <v>45</v>
      </c>
      <c r="H249">
        <v>7</v>
      </c>
      <c r="I249" t="s">
        <v>15</v>
      </c>
      <c r="J249" t="s">
        <v>44</v>
      </c>
      <c r="K249">
        <v>78</v>
      </c>
      <c r="L249">
        <v>5000</v>
      </c>
      <c r="M249" t="s">
        <v>25</v>
      </c>
    </row>
    <row r="250" spans="1:13">
      <c r="A250">
        <v>249</v>
      </c>
      <c r="B250" t="s">
        <v>13</v>
      </c>
      <c r="C250">
        <v>44</v>
      </c>
      <c r="D250" t="s">
        <v>49</v>
      </c>
      <c r="E250">
        <v>6.4</v>
      </c>
      <c r="F250">
        <v>6</v>
      </c>
      <c r="G250">
        <v>45</v>
      </c>
      <c r="H250">
        <v>7</v>
      </c>
      <c r="I250" t="s">
        <v>15</v>
      </c>
      <c r="J250" t="s">
        <v>44</v>
      </c>
      <c r="K250">
        <v>72</v>
      </c>
      <c r="L250">
        <v>6000</v>
      </c>
      <c r="M250" t="s">
        <v>17</v>
      </c>
    </row>
    <row r="251" spans="1:13">
      <c r="A251">
        <v>250</v>
      </c>
      <c r="B251" t="s">
        <v>13</v>
      </c>
      <c r="C251">
        <v>44</v>
      </c>
      <c r="D251" t="s">
        <v>49</v>
      </c>
      <c r="E251">
        <v>6.5</v>
      </c>
      <c r="F251">
        <v>6</v>
      </c>
      <c r="G251">
        <v>45</v>
      </c>
      <c r="H251">
        <v>7</v>
      </c>
      <c r="I251" t="s">
        <v>15</v>
      </c>
      <c r="J251" t="s">
        <v>44</v>
      </c>
      <c r="K251">
        <v>72</v>
      </c>
      <c r="L251">
        <v>6000</v>
      </c>
      <c r="M251" t="s">
        <v>17</v>
      </c>
    </row>
    <row r="252" spans="1:13">
      <c r="A252">
        <v>251</v>
      </c>
      <c r="B252" t="s">
        <v>28</v>
      </c>
      <c r="C252">
        <v>45</v>
      </c>
      <c r="D252" t="s">
        <v>26</v>
      </c>
      <c r="E252">
        <v>6.8</v>
      </c>
      <c r="F252">
        <v>7</v>
      </c>
      <c r="G252">
        <v>30</v>
      </c>
      <c r="H252">
        <v>6</v>
      </c>
      <c r="I252" t="s">
        <v>15</v>
      </c>
      <c r="J252" t="s">
        <v>50</v>
      </c>
      <c r="K252">
        <v>65</v>
      </c>
      <c r="L252">
        <v>6000</v>
      </c>
      <c r="M252" t="s">
        <v>25</v>
      </c>
    </row>
    <row r="253" spans="1:13">
      <c r="A253">
        <v>252</v>
      </c>
      <c r="B253" t="s">
        <v>28</v>
      </c>
      <c r="C253">
        <v>45</v>
      </c>
      <c r="D253" t="s">
        <v>26</v>
      </c>
      <c r="E253">
        <v>6.8</v>
      </c>
      <c r="F253">
        <v>7</v>
      </c>
      <c r="G253">
        <v>30</v>
      </c>
      <c r="H253">
        <v>6</v>
      </c>
      <c r="I253" t="s">
        <v>15</v>
      </c>
      <c r="J253" t="s">
        <v>50</v>
      </c>
      <c r="K253">
        <v>65</v>
      </c>
      <c r="L253">
        <v>6000</v>
      </c>
      <c r="M253" t="s">
        <v>25</v>
      </c>
    </row>
    <row r="254" spans="1:13">
      <c r="A254">
        <v>253</v>
      </c>
      <c r="B254" t="s">
        <v>28</v>
      </c>
      <c r="C254">
        <v>45</v>
      </c>
      <c r="D254" t="s">
        <v>26</v>
      </c>
      <c r="E254">
        <v>6.5</v>
      </c>
      <c r="F254">
        <v>7</v>
      </c>
      <c r="G254">
        <v>45</v>
      </c>
      <c r="H254">
        <v>4</v>
      </c>
      <c r="I254" t="s">
        <v>15</v>
      </c>
      <c r="J254" t="s">
        <v>50</v>
      </c>
      <c r="K254">
        <v>65</v>
      </c>
      <c r="L254">
        <v>6000</v>
      </c>
      <c r="M254" t="s">
        <v>25</v>
      </c>
    </row>
    <row r="255" spans="1:13">
      <c r="A255">
        <v>254</v>
      </c>
      <c r="B255" t="s">
        <v>28</v>
      </c>
      <c r="C255">
        <v>45</v>
      </c>
      <c r="D255" t="s">
        <v>26</v>
      </c>
      <c r="E255">
        <v>6.5</v>
      </c>
      <c r="F255">
        <v>7</v>
      </c>
      <c r="G255">
        <v>45</v>
      </c>
      <c r="H255">
        <v>4</v>
      </c>
      <c r="I255" t="s">
        <v>15</v>
      </c>
      <c r="J255" t="s">
        <v>50</v>
      </c>
      <c r="K255">
        <v>65</v>
      </c>
      <c r="L255">
        <v>6000</v>
      </c>
      <c r="M255" t="s">
        <v>25</v>
      </c>
    </row>
    <row r="256" spans="1:13">
      <c r="A256">
        <v>255</v>
      </c>
      <c r="B256" t="s">
        <v>28</v>
      </c>
      <c r="C256">
        <v>45</v>
      </c>
      <c r="D256" t="s">
        <v>26</v>
      </c>
      <c r="E256">
        <v>6.5</v>
      </c>
      <c r="F256">
        <v>7</v>
      </c>
      <c r="G256">
        <v>45</v>
      </c>
      <c r="H256">
        <v>4</v>
      </c>
      <c r="I256" t="s">
        <v>15</v>
      </c>
      <c r="J256" t="s">
        <v>50</v>
      </c>
      <c r="K256">
        <v>65</v>
      </c>
      <c r="L256">
        <v>6000</v>
      </c>
      <c r="M256" t="s">
        <v>25</v>
      </c>
    </row>
    <row r="257" spans="1:13">
      <c r="A257">
        <v>256</v>
      </c>
      <c r="B257" t="s">
        <v>28</v>
      </c>
      <c r="C257">
        <v>45</v>
      </c>
      <c r="D257" t="s">
        <v>26</v>
      </c>
      <c r="E257">
        <v>6.5</v>
      </c>
      <c r="F257">
        <v>7</v>
      </c>
      <c r="G257">
        <v>45</v>
      </c>
      <c r="H257">
        <v>4</v>
      </c>
      <c r="I257" t="s">
        <v>15</v>
      </c>
      <c r="J257" t="s">
        <v>50</v>
      </c>
      <c r="K257">
        <v>65</v>
      </c>
      <c r="L257">
        <v>6000</v>
      </c>
      <c r="M257" t="s">
        <v>25</v>
      </c>
    </row>
    <row r="258" spans="1:13">
      <c r="A258">
        <v>257</v>
      </c>
      <c r="B258" t="s">
        <v>28</v>
      </c>
      <c r="C258">
        <v>45</v>
      </c>
      <c r="D258" t="s">
        <v>26</v>
      </c>
      <c r="E258">
        <v>6.6</v>
      </c>
      <c r="F258">
        <v>7</v>
      </c>
      <c r="G258">
        <v>45</v>
      </c>
      <c r="H258">
        <v>4</v>
      </c>
      <c r="I258" t="s">
        <v>15</v>
      </c>
      <c r="J258" t="s">
        <v>50</v>
      </c>
      <c r="K258">
        <v>65</v>
      </c>
      <c r="L258">
        <v>6000</v>
      </c>
      <c r="M258" t="s">
        <v>25</v>
      </c>
    </row>
    <row r="259" spans="1:13">
      <c r="A259">
        <v>258</v>
      </c>
      <c r="B259" t="s">
        <v>28</v>
      </c>
      <c r="C259">
        <v>45</v>
      </c>
      <c r="D259" t="s">
        <v>26</v>
      </c>
      <c r="E259">
        <v>6.6</v>
      </c>
      <c r="F259">
        <v>7</v>
      </c>
      <c r="G259">
        <v>45</v>
      </c>
      <c r="H259">
        <v>4</v>
      </c>
      <c r="I259" t="s">
        <v>15</v>
      </c>
      <c r="J259" t="s">
        <v>50</v>
      </c>
      <c r="K259">
        <v>65</v>
      </c>
      <c r="L259">
        <v>6000</v>
      </c>
      <c r="M259" t="s">
        <v>25</v>
      </c>
    </row>
    <row r="260" spans="1:13">
      <c r="A260">
        <v>259</v>
      </c>
      <c r="B260" t="s">
        <v>28</v>
      </c>
      <c r="C260">
        <v>45</v>
      </c>
      <c r="D260" t="s">
        <v>26</v>
      </c>
      <c r="E260">
        <v>6.6</v>
      </c>
      <c r="F260">
        <v>7</v>
      </c>
      <c r="G260">
        <v>45</v>
      </c>
      <c r="H260">
        <v>4</v>
      </c>
      <c r="I260" t="s">
        <v>15</v>
      </c>
      <c r="J260" t="s">
        <v>50</v>
      </c>
      <c r="K260">
        <v>65</v>
      </c>
      <c r="L260">
        <v>6000</v>
      </c>
      <c r="M260" t="s">
        <v>25</v>
      </c>
    </row>
    <row r="261" spans="1:13">
      <c r="A261">
        <v>260</v>
      </c>
      <c r="B261" t="s">
        <v>28</v>
      </c>
      <c r="C261">
        <v>45</v>
      </c>
      <c r="D261" t="s">
        <v>26</v>
      </c>
      <c r="E261">
        <v>6.6</v>
      </c>
      <c r="F261">
        <v>7</v>
      </c>
      <c r="G261">
        <v>45</v>
      </c>
      <c r="H261">
        <v>4</v>
      </c>
      <c r="I261" t="s">
        <v>15</v>
      </c>
      <c r="J261" t="s">
        <v>50</v>
      </c>
      <c r="K261">
        <v>65</v>
      </c>
      <c r="L261">
        <v>6000</v>
      </c>
      <c r="M261" t="s">
        <v>25</v>
      </c>
    </row>
    <row r="262" spans="1:13">
      <c r="A262">
        <v>261</v>
      </c>
      <c r="B262" t="s">
        <v>28</v>
      </c>
      <c r="C262">
        <v>45</v>
      </c>
      <c r="D262" t="s">
        <v>26</v>
      </c>
      <c r="E262">
        <v>6.6</v>
      </c>
      <c r="F262">
        <v>7</v>
      </c>
      <c r="G262">
        <v>45</v>
      </c>
      <c r="H262">
        <v>4</v>
      </c>
      <c r="I262" t="s">
        <v>15</v>
      </c>
      <c r="J262" t="s">
        <v>50</v>
      </c>
      <c r="K262">
        <v>65</v>
      </c>
      <c r="L262">
        <v>6000</v>
      </c>
      <c r="M262" t="s">
        <v>25</v>
      </c>
    </row>
    <row r="263" spans="1:13">
      <c r="A263">
        <v>262</v>
      </c>
      <c r="B263" t="s">
        <v>28</v>
      </c>
      <c r="C263">
        <v>45</v>
      </c>
      <c r="D263" t="s">
        <v>26</v>
      </c>
      <c r="E263">
        <v>6.6</v>
      </c>
      <c r="F263">
        <v>7</v>
      </c>
      <c r="G263">
        <v>45</v>
      </c>
      <c r="H263">
        <v>4</v>
      </c>
      <c r="I263" t="s">
        <v>15</v>
      </c>
      <c r="J263" t="s">
        <v>50</v>
      </c>
      <c r="K263">
        <v>65</v>
      </c>
      <c r="L263">
        <v>6000</v>
      </c>
      <c r="M263" t="s">
        <v>17</v>
      </c>
    </row>
    <row r="264" spans="1:13">
      <c r="A264">
        <v>263</v>
      </c>
      <c r="B264" t="s">
        <v>28</v>
      </c>
      <c r="C264">
        <v>45</v>
      </c>
      <c r="D264" t="s">
        <v>26</v>
      </c>
      <c r="E264">
        <v>6.6</v>
      </c>
      <c r="F264">
        <v>7</v>
      </c>
      <c r="G264">
        <v>45</v>
      </c>
      <c r="H264">
        <v>4</v>
      </c>
      <c r="I264" t="s">
        <v>15</v>
      </c>
      <c r="J264" t="s">
        <v>50</v>
      </c>
      <c r="K264">
        <v>65</v>
      </c>
      <c r="L264">
        <v>6000</v>
      </c>
      <c r="M264" t="s">
        <v>17</v>
      </c>
    </row>
    <row r="265" spans="1:13">
      <c r="A265">
        <v>264</v>
      </c>
      <c r="B265" t="s">
        <v>28</v>
      </c>
      <c r="C265">
        <v>45</v>
      </c>
      <c r="D265" t="s">
        <v>52</v>
      </c>
      <c r="E265">
        <v>6.9</v>
      </c>
      <c r="F265">
        <v>7</v>
      </c>
      <c r="G265">
        <v>55</v>
      </c>
      <c r="H265">
        <v>5</v>
      </c>
      <c r="I265" t="s">
        <v>15</v>
      </c>
      <c r="J265" t="s">
        <v>48</v>
      </c>
      <c r="K265">
        <v>75</v>
      </c>
      <c r="L265">
        <v>5500</v>
      </c>
      <c r="M265" t="s">
        <v>17</v>
      </c>
    </row>
    <row r="266" spans="1:13">
      <c r="A266">
        <v>265</v>
      </c>
      <c r="B266" t="s">
        <v>13</v>
      </c>
      <c r="C266">
        <v>48</v>
      </c>
      <c r="D266" t="s">
        <v>18</v>
      </c>
      <c r="E266">
        <v>7.3</v>
      </c>
      <c r="F266">
        <v>7</v>
      </c>
      <c r="G266">
        <v>65</v>
      </c>
      <c r="H266">
        <v>5</v>
      </c>
      <c r="I266" t="s">
        <v>22</v>
      </c>
      <c r="J266" t="s">
        <v>53</v>
      </c>
      <c r="K266">
        <v>83</v>
      </c>
      <c r="L266">
        <v>3500</v>
      </c>
      <c r="M266" t="s">
        <v>25</v>
      </c>
    </row>
    <row r="267" spans="1:13">
      <c r="A267">
        <v>266</v>
      </c>
      <c r="B267" t="s">
        <v>28</v>
      </c>
      <c r="C267">
        <v>48</v>
      </c>
      <c r="D267" t="s">
        <v>29</v>
      </c>
      <c r="E267">
        <v>5.9</v>
      </c>
      <c r="F267">
        <v>6</v>
      </c>
      <c r="G267">
        <v>90</v>
      </c>
      <c r="H267">
        <v>8</v>
      </c>
      <c r="I267" t="s">
        <v>15</v>
      </c>
      <c r="J267" t="s">
        <v>54</v>
      </c>
      <c r="K267">
        <v>75</v>
      </c>
      <c r="L267">
        <v>10000</v>
      </c>
      <c r="M267" t="s">
        <v>24</v>
      </c>
    </row>
    <row r="268" spans="1:13">
      <c r="A268">
        <v>267</v>
      </c>
      <c r="B268" t="s">
        <v>13</v>
      </c>
      <c r="C268">
        <v>48</v>
      </c>
      <c r="D268" t="s">
        <v>18</v>
      </c>
      <c r="E268">
        <v>7.3</v>
      </c>
      <c r="F268">
        <v>7</v>
      </c>
      <c r="G268">
        <v>65</v>
      </c>
      <c r="H268">
        <v>5</v>
      </c>
      <c r="I268" t="s">
        <v>22</v>
      </c>
      <c r="J268" t="s">
        <v>53</v>
      </c>
      <c r="K268">
        <v>83</v>
      </c>
      <c r="L268">
        <v>3500</v>
      </c>
      <c r="M268" t="s">
        <v>25</v>
      </c>
    </row>
    <row r="269" spans="1:13">
      <c r="A269">
        <v>268</v>
      </c>
      <c r="B269" t="s">
        <v>28</v>
      </c>
      <c r="C269">
        <v>49</v>
      </c>
      <c r="D269" t="s">
        <v>29</v>
      </c>
      <c r="E269">
        <v>6.2</v>
      </c>
      <c r="F269">
        <v>6</v>
      </c>
      <c r="G269">
        <v>90</v>
      </c>
      <c r="H269">
        <v>8</v>
      </c>
      <c r="I269" t="s">
        <v>15</v>
      </c>
      <c r="J269" t="s">
        <v>54</v>
      </c>
      <c r="K269">
        <v>75</v>
      </c>
      <c r="L269">
        <v>10000</v>
      </c>
      <c r="M269" t="s">
        <v>17</v>
      </c>
    </row>
    <row r="270" spans="1:13">
      <c r="A270">
        <v>269</v>
      </c>
      <c r="B270" t="s">
        <v>28</v>
      </c>
      <c r="C270">
        <v>49</v>
      </c>
      <c r="D270" t="s">
        <v>29</v>
      </c>
      <c r="E270">
        <v>6</v>
      </c>
      <c r="F270">
        <v>6</v>
      </c>
      <c r="G270">
        <v>90</v>
      </c>
      <c r="H270">
        <v>8</v>
      </c>
      <c r="I270" t="s">
        <v>15</v>
      </c>
      <c r="J270" t="s">
        <v>54</v>
      </c>
      <c r="K270">
        <v>75</v>
      </c>
      <c r="L270">
        <v>10000</v>
      </c>
      <c r="M270" t="s">
        <v>24</v>
      </c>
    </row>
    <row r="271" spans="1:13">
      <c r="A271">
        <v>270</v>
      </c>
      <c r="B271" t="s">
        <v>28</v>
      </c>
      <c r="C271">
        <v>49</v>
      </c>
      <c r="D271" t="s">
        <v>29</v>
      </c>
      <c r="E271">
        <v>6.1</v>
      </c>
      <c r="F271">
        <v>6</v>
      </c>
      <c r="G271">
        <v>90</v>
      </c>
      <c r="H271">
        <v>8</v>
      </c>
      <c r="I271" t="s">
        <v>15</v>
      </c>
      <c r="J271" t="s">
        <v>54</v>
      </c>
      <c r="K271">
        <v>75</v>
      </c>
      <c r="L271">
        <v>10000</v>
      </c>
      <c r="M271" t="s">
        <v>24</v>
      </c>
    </row>
    <row r="272" spans="1:13">
      <c r="A272">
        <v>271</v>
      </c>
      <c r="B272" t="s">
        <v>28</v>
      </c>
      <c r="C272">
        <v>49</v>
      </c>
      <c r="D272" t="s">
        <v>29</v>
      </c>
      <c r="E272">
        <v>6.1</v>
      </c>
      <c r="F272">
        <v>6</v>
      </c>
      <c r="G272">
        <v>90</v>
      </c>
      <c r="H272">
        <v>8</v>
      </c>
      <c r="I272" t="s">
        <v>15</v>
      </c>
      <c r="J272" t="s">
        <v>54</v>
      </c>
      <c r="K272">
        <v>75</v>
      </c>
      <c r="L272">
        <v>10000</v>
      </c>
      <c r="M272" t="s">
        <v>24</v>
      </c>
    </row>
    <row r="273" spans="1:13">
      <c r="A273">
        <v>272</v>
      </c>
      <c r="B273" t="s">
        <v>28</v>
      </c>
      <c r="C273">
        <v>49</v>
      </c>
      <c r="D273" t="s">
        <v>29</v>
      </c>
      <c r="E273">
        <v>6.1</v>
      </c>
      <c r="F273">
        <v>6</v>
      </c>
      <c r="G273">
        <v>90</v>
      </c>
      <c r="H273">
        <v>8</v>
      </c>
      <c r="I273" t="s">
        <v>15</v>
      </c>
      <c r="J273" t="s">
        <v>54</v>
      </c>
      <c r="K273">
        <v>75</v>
      </c>
      <c r="L273">
        <v>10000</v>
      </c>
      <c r="M273" t="s">
        <v>24</v>
      </c>
    </row>
    <row r="274" spans="1:13">
      <c r="A274">
        <v>273</v>
      </c>
      <c r="B274" t="s">
        <v>28</v>
      </c>
      <c r="C274">
        <v>49</v>
      </c>
      <c r="D274" t="s">
        <v>29</v>
      </c>
      <c r="E274">
        <v>6.1</v>
      </c>
      <c r="F274">
        <v>6</v>
      </c>
      <c r="G274">
        <v>90</v>
      </c>
      <c r="H274">
        <v>8</v>
      </c>
      <c r="I274" t="s">
        <v>15</v>
      </c>
      <c r="J274" t="s">
        <v>54</v>
      </c>
      <c r="K274">
        <v>75</v>
      </c>
      <c r="L274">
        <v>10000</v>
      </c>
      <c r="M274" t="s">
        <v>24</v>
      </c>
    </row>
    <row r="275" spans="1:13">
      <c r="A275">
        <v>274</v>
      </c>
      <c r="B275" t="s">
        <v>28</v>
      </c>
      <c r="C275">
        <v>49</v>
      </c>
      <c r="D275" t="s">
        <v>29</v>
      </c>
      <c r="E275">
        <v>6.2</v>
      </c>
      <c r="F275">
        <v>6</v>
      </c>
      <c r="G275">
        <v>90</v>
      </c>
      <c r="H275">
        <v>8</v>
      </c>
      <c r="I275" t="s">
        <v>15</v>
      </c>
      <c r="J275" t="s">
        <v>54</v>
      </c>
      <c r="K275">
        <v>75</v>
      </c>
      <c r="L275">
        <v>10000</v>
      </c>
      <c r="M275" t="s">
        <v>24</v>
      </c>
    </row>
    <row r="276" spans="1:13">
      <c r="A276">
        <v>275</v>
      </c>
      <c r="B276" t="s">
        <v>28</v>
      </c>
      <c r="C276">
        <v>49</v>
      </c>
      <c r="D276" t="s">
        <v>29</v>
      </c>
      <c r="E276">
        <v>6.2</v>
      </c>
      <c r="F276">
        <v>6</v>
      </c>
      <c r="G276">
        <v>90</v>
      </c>
      <c r="H276">
        <v>8</v>
      </c>
      <c r="I276" t="s">
        <v>15</v>
      </c>
      <c r="J276" t="s">
        <v>54</v>
      </c>
      <c r="K276">
        <v>75</v>
      </c>
      <c r="L276">
        <v>10000</v>
      </c>
      <c r="M276" t="s">
        <v>24</v>
      </c>
    </row>
    <row r="277" spans="1:13">
      <c r="A277">
        <v>276</v>
      </c>
      <c r="B277" t="s">
        <v>28</v>
      </c>
      <c r="C277">
        <v>49</v>
      </c>
      <c r="D277" t="s">
        <v>29</v>
      </c>
      <c r="E277">
        <v>6.2</v>
      </c>
      <c r="F277">
        <v>6</v>
      </c>
      <c r="G277">
        <v>90</v>
      </c>
      <c r="H277">
        <v>8</v>
      </c>
      <c r="I277" t="s">
        <v>15</v>
      </c>
      <c r="J277" t="s">
        <v>54</v>
      </c>
      <c r="K277">
        <v>75</v>
      </c>
      <c r="L277">
        <v>10000</v>
      </c>
      <c r="M277" t="s">
        <v>24</v>
      </c>
    </row>
    <row r="278" spans="1:13">
      <c r="A278">
        <v>277</v>
      </c>
      <c r="B278" t="s">
        <v>13</v>
      </c>
      <c r="C278">
        <v>49</v>
      </c>
      <c r="D278" t="s">
        <v>18</v>
      </c>
      <c r="E278">
        <v>8.1</v>
      </c>
      <c r="F278">
        <v>9</v>
      </c>
      <c r="G278">
        <v>85</v>
      </c>
      <c r="H278">
        <v>3</v>
      </c>
      <c r="I278" t="s">
        <v>22</v>
      </c>
      <c r="J278" t="s">
        <v>55</v>
      </c>
      <c r="K278">
        <v>86</v>
      </c>
      <c r="L278">
        <v>3700</v>
      </c>
      <c r="M278" t="s">
        <v>24</v>
      </c>
    </row>
    <row r="279" spans="1:13">
      <c r="A279">
        <v>278</v>
      </c>
      <c r="B279" t="s">
        <v>13</v>
      </c>
      <c r="C279">
        <v>49</v>
      </c>
      <c r="D279" t="s">
        <v>18</v>
      </c>
      <c r="E279">
        <v>8.1</v>
      </c>
      <c r="F279">
        <v>9</v>
      </c>
      <c r="G279">
        <v>85</v>
      </c>
      <c r="H279">
        <v>3</v>
      </c>
      <c r="I279" t="s">
        <v>22</v>
      </c>
      <c r="J279" t="s">
        <v>55</v>
      </c>
      <c r="K279">
        <v>86</v>
      </c>
      <c r="L279">
        <v>3700</v>
      </c>
      <c r="M279" t="s">
        <v>24</v>
      </c>
    </row>
    <row r="280" spans="1:13">
      <c r="A280">
        <v>279</v>
      </c>
      <c r="B280" t="s">
        <v>28</v>
      </c>
      <c r="C280">
        <v>50</v>
      </c>
      <c r="D280" t="s">
        <v>29</v>
      </c>
      <c r="E280">
        <v>6.1</v>
      </c>
      <c r="F280">
        <v>6</v>
      </c>
      <c r="G280">
        <v>90</v>
      </c>
      <c r="H280">
        <v>8</v>
      </c>
      <c r="I280" t="s">
        <v>15</v>
      </c>
      <c r="J280" t="s">
        <v>54</v>
      </c>
      <c r="K280">
        <v>75</v>
      </c>
      <c r="L280">
        <v>10000</v>
      </c>
      <c r="M280" t="s">
        <v>25</v>
      </c>
    </row>
    <row r="281" spans="1:13">
      <c r="A281">
        <v>280</v>
      </c>
      <c r="B281" t="s">
        <v>28</v>
      </c>
      <c r="C281">
        <v>50</v>
      </c>
      <c r="D281" t="s">
        <v>33</v>
      </c>
      <c r="E281">
        <v>8.3000000000000007</v>
      </c>
      <c r="F281">
        <v>9</v>
      </c>
      <c r="G281">
        <v>30</v>
      </c>
      <c r="H281">
        <v>3</v>
      </c>
      <c r="I281" t="s">
        <v>19</v>
      </c>
      <c r="J281" t="s">
        <v>20</v>
      </c>
      <c r="K281">
        <v>65</v>
      </c>
      <c r="L281">
        <v>5000</v>
      </c>
      <c r="M281" t="s">
        <v>17</v>
      </c>
    </row>
    <row r="282" spans="1:13">
      <c r="A282">
        <v>281</v>
      </c>
      <c r="B282" t="s">
        <v>28</v>
      </c>
      <c r="C282">
        <v>50</v>
      </c>
      <c r="D282" t="s">
        <v>29</v>
      </c>
      <c r="E282">
        <v>6</v>
      </c>
      <c r="F282">
        <v>6</v>
      </c>
      <c r="G282">
        <v>90</v>
      </c>
      <c r="H282">
        <v>8</v>
      </c>
      <c r="I282" t="s">
        <v>15</v>
      </c>
      <c r="J282" t="s">
        <v>54</v>
      </c>
      <c r="K282">
        <v>75</v>
      </c>
      <c r="L282">
        <v>10000</v>
      </c>
      <c r="M282" t="s">
        <v>17</v>
      </c>
    </row>
    <row r="283" spans="1:13">
      <c r="A283">
        <v>282</v>
      </c>
      <c r="B283" t="s">
        <v>28</v>
      </c>
      <c r="C283">
        <v>50</v>
      </c>
      <c r="D283" t="s">
        <v>29</v>
      </c>
      <c r="E283">
        <v>6.1</v>
      </c>
      <c r="F283">
        <v>6</v>
      </c>
      <c r="G283">
        <v>90</v>
      </c>
      <c r="H283">
        <v>8</v>
      </c>
      <c r="I283" t="s">
        <v>15</v>
      </c>
      <c r="J283" t="s">
        <v>54</v>
      </c>
      <c r="K283">
        <v>75</v>
      </c>
      <c r="L283">
        <v>10000</v>
      </c>
      <c r="M283" t="s">
        <v>24</v>
      </c>
    </row>
    <row r="284" spans="1:13">
      <c r="A284">
        <v>283</v>
      </c>
      <c r="B284" t="s">
        <v>28</v>
      </c>
      <c r="C284">
        <v>50</v>
      </c>
      <c r="D284" t="s">
        <v>29</v>
      </c>
      <c r="E284">
        <v>6</v>
      </c>
      <c r="F284">
        <v>6</v>
      </c>
      <c r="G284">
        <v>90</v>
      </c>
      <c r="H284">
        <v>8</v>
      </c>
      <c r="I284" t="s">
        <v>15</v>
      </c>
      <c r="J284" t="s">
        <v>54</v>
      </c>
      <c r="K284">
        <v>75</v>
      </c>
      <c r="L284">
        <v>10000</v>
      </c>
      <c r="M284" t="s">
        <v>24</v>
      </c>
    </row>
    <row r="285" spans="1:13">
      <c r="A285">
        <v>284</v>
      </c>
      <c r="B285" t="s">
        <v>28</v>
      </c>
      <c r="C285">
        <v>50</v>
      </c>
      <c r="D285" t="s">
        <v>29</v>
      </c>
      <c r="E285">
        <v>6</v>
      </c>
      <c r="F285">
        <v>6</v>
      </c>
      <c r="G285">
        <v>90</v>
      </c>
      <c r="H285">
        <v>8</v>
      </c>
      <c r="I285" t="s">
        <v>15</v>
      </c>
      <c r="J285" t="s">
        <v>54</v>
      </c>
      <c r="K285">
        <v>75</v>
      </c>
      <c r="L285">
        <v>10000</v>
      </c>
      <c r="M285" t="s">
        <v>24</v>
      </c>
    </row>
    <row r="286" spans="1:13">
      <c r="A286">
        <v>285</v>
      </c>
      <c r="B286" t="s">
        <v>28</v>
      </c>
      <c r="C286">
        <v>50</v>
      </c>
      <c r="D286" t="s">
        <v>29</v>
      </c>
      <c r="E286">
        <v>6</v>
      </c>
      <c r="F286">
        <v>6</v>
      </c>
      <c r="G286">
        <v>90</v>
      </c>
      <c r="H286">
        <v>8</v>
      </c>
      <c r="I286" t="s">
        <v>15</v>
      </c>
      <c r="J286" t="s">
        <v>54</v>
      </c>
      <c r="K286">
        <v>75</v>
      </c>
      <c r="L286">
        <v>10000</v>
      </c>
      <c r="M286" t="s">
        <v>24</v>
      </c>
    </row>
    <row r="287" spans="1:13">
      <c r="A287">
        <v>286</v>
      </c>
      <c r="B287" t="s">
        <v>28</v>
      </c>
      <c r="C287">
        <v>50</v>
      </c>
      <c r="D287" t="s">
        <v>29</v>
      </c>
      <c r="E287">
        <v>6</v>
      </c>
      <c r="F287">
        <v>6</v>
      </c>
      <c r="G287">
        <v>90</v>
      </c>
      <c r="H287">
        <v>8</v>
      </c>
      <c r="I287" t="s">
        <v>15</v>
      </c>
      <c r="J287" t="s">
        <v>54</v>
      </c>
      <c r="K287">
        <v>75</v>
      </c>
      <c r="L287">
        <v>10000</v>
      </c>
      <c r="M287" t="s">
        <v>24</v>
      </c>
    </row>
    <row r="288" spans="1:13">
      <c r="A288">
        <v>287</v>
      </c>
      <c r="B288" t="s">
        <v>28</v>
      </c>
      <c r="C288">
        <v>50</v>
      </c>
      <c r="D288" t="s">
        <v>29</v>
      </c>
      <c r="E288">
        <v>6</v>
      </c>
      <c r="F288">
        <v>6</v>
      </c>
      <c r="G288">
        <v>90</v>
      </c>
      <c r="H288">
        <v>8</v>
      </c>
      <c r="I288" t="s">
        <v>15</v>
      </c>
      <c r="J288" t="s">
        <v>54</v>
      </c>
      <c r="K288">
        <v>75</v>
      </c>
      <c r="L288">
        <v>10000</v>
      </c>
      <c r="M288" t="s">
        <v>24</v>
      </c>
    </row>
    <row r="289" spans="1:13">
      <c r="A289">
        <v>288</v>
      </c>
      <c r="B289" t="s">
        <v>28</v>
      </c>
      <c r="C289">
        <v>50</v>
      </c>
      <c r="D289" t="s">
        <v>29</v>
      </c>
      <c r="E289">
        <v>6</v>
      </c>
      <c r="F289">
        <v>6</v>
      </c>
      <c r="G289">
        <v>90</v>
      </c>
      <c r="H289">
        <v>8</v>
      </c>
      <c r="I289" t="s">
        <v>15</v>
      </c>
      <c r="J289" t="s">
        <v>54</v>
      </c>
      <c r="K289">
        <v>75</v>
      </c>
      <c r="L289">
        <v>10000</v>
      </c>
      <c r="M289" t="s">
        <v>24</v>
      </c>
    </row>
    <row r="290" spans="1:13">
      <c r="A290">
        <v>289</v>
      </c>
      <c r="B290" t="s">
        <v>28</v>
      </c>
      <c r="C290">
        <v>50</v>
      </c>
      <c r="D290" t="s">
        <v>29</v>
      </c>
      <c r="E290">
        <v>6</v>
      </c>
      <c r="F290">
        <v>6</v>
      </c>
      <c r="G290">
        <v>90</v>
      </c>
      <c r="H290">
        <v>8</v>
      </c>
      <c r="I290" t="s">
        <v>15</v>
      </c>
      <c r="J290" t="s">
        <v>54</v>
      </c>
      <c r="K290">
        <v>75</v>
      </c>
      <c r="L290">
        <v>10000</v>
      </c>
      <c r="M290" t="s">
        <v>24</v>
      </c>
    </row>
    <row r="291" spans="1:13">
      <c r="A291">
        <v>290</v>
      </c>
      <c r="B291" t="s">
        <v>28</v>
      </c>
      <c r="C291">
        <v>50</v>
      </c>
      <c r="D291" t="s">
        <v>29</v>
      </c>
      <c r="E291">
        <v>6.1</v>
      </c>
      <c r="F291">
        <v>6</v>
      </c>
      <c r="G291">
        <v>90</v>
      </c>
      <c r="H291">
        <v>8</v>
      </c>
      <c r="I291" t="s">
        <v>15</v>
      </c>
      <c r="J291" t="s">
        <v>54</v>
      </c>
      <c r="K291">
        <v>75</v>
      </c>
      <c r="L291">
        <v>10000</v>
      </c>
      <c r="M291" t="s">
        <v>24</v>
      </c>
    </row>
    <row r="292" spans="1:13">
      <c r="A292">
        <v>291</v>
      </c>
      <c r="B292" t="s">
        <v>28</v>
      </c>
      <c r="C292">
        <v>50</v>
      </c>
      <c r="D292" t="s">
        <v>29</v>
      </c>
      <c r="E292">
        <v>6</v>
      </c>
      <c r="F292">
        <v>6</v>
      </c>
      <c r="G292">
        <v>90</v>
      </c>
      <c r="H292">
        <v>8</v>
      </c>
      <c r="I292" t="s">
        <v>15</v>
      </c>
      <c r="J292" t="s">
        <v>54</v>
      </c>
      <c r="K292">
        <v>75</v>
      </c>
      <c r="L292">
        <v>10000</v>
      </c>
      <c r="M292" t="s">
        <v>24</v>
      </c>
    </row>
    <row r="293" spans="1:13">
      <c r="A293">
        <v>292</v>
      </c>
      <c r="B293" t="s">
        <v>28</v>
      </c>
      <c r="C293">
        <v>50</v>
      </c>
      <c r="D293" t="s">
        <v>29</v>
      </c>
      <c r="E293">
        <v>6.1</v>
      </c>
      <c r="F293">
        <v>6</v>
      </c>
      <c r="G293">
        <v>90</v>
      </c>
      <c r="H293">
        <v>8</v>
      </c>
      <c r="I293" t="s">
        <v>15</v>
      </c>
      <c r="J293" t="s">
        <v>54</v>
      </c>
      <c r="K293">
        <v>75</v>
      </c>
      <c r="L293">
        <v>10000</v>
      </c>
      <c r="M293" t="s">
        <v>24</v>
      </c>
    </row>
    <row r="294" spans="1:13">
      <c r="A294">
        <v>293</v>
      </c>
      <c r="B294" t="s">
        <v>28</v>
      </c>
      <c r="C294">
        <v>50</v>
      </c>
      <c r="D294" t="s">
        <v>29</v>
      </c>
      <c r="E294">
        <v>6.1</v>
      </c>
      <c r="F294">
        <v>6</v>
      </c>
      <c r="G294">
        <v>90</v>
      </c>
      <c r="H294">
        <v>8</v>
      </c>
      <c r="I294" t="s">
        <v>15</v>
      </c>
      <c r="J294" t="s">
        <v>54</v>
      </c>
      <c r="K294">
        <v>75</v>
      </c>
      <c r="L294">
        <v>10000</v>
      </c>
      <c r="M294" t="s">
        <v>24</v>
      </c>
    </row>
    <row r="295" spans="1:13">
      <c r="A295">
        <v>294</v>
      </c>
      <c r="B295" t="s">
        <v>28</v>
      </c>
      <c r="C295">
        <v>50</v>
      </c>
      <c r="D295" t="s">
        <v>29</v>
      </c>
      <c r="E295">
        <v>6</v>
      </c>
      <c r="F295">
        <v>6</v>
      </c>
      <c r="G295">
        <v>90</v>
      </c>
      <c r="H295">
        <v>8</v>
      </c>
      <c r="I295" t="s">
        <v>15</v>
      </c>
      <c r="J295" t="s">
        <v>54</v>
      </c>
      <c r="K295">
        <v>75</v>
      </c>
      <c r="L295">
        <v>10000</v>
      </c>
      <c r="M295" t="s">
        <v>24</v>
      </c>
    </row>
    <row r="296" spans="1:13">
      <c r="A296">
        <v>295</v>
      </c>
      <c r="B296" t="s">
        <v>28</v>
      </c>
      <c r="C296">
        <v>50</v>
      </c>
      <c r="D296" t="s">
        <v>29</v>
      </c>
      <c r="E296">
        <v>6.1</v>
      </c>
      <c r="F296">
        <v>6</v>
      </c>
      <c r="G296">
        <v>90</v>
      </c>
      <c r="H296">
        <v>8</v>
      </c>
      <c r="I296" t="s">
        <v>15</v>
      </c>
      <c r="J296" t="s">
        <v>54</v>
      </c>
      <c r="K296">
        <v>75</v>
      </c>
      <c r="L296">
        <v>10000</v>
      </c>
      <c r="M296" t="s">
        <v>24</v>
      </c>
    </row>
    <row r="297" spans="1:13">
      <c r="A297">
        <v>296</v>
      </c>
      <c r="B297" t="s">
        <v>28</v>
      </c>
      <c r="C297">
        <v>50</v>
      </c>
      <c r="D297" t="s">
        <v>29</v>
      </c>
      <c r="E297">
        <v>6</v>
      </c>
      <c r="F297">
        <v>6</v>
      </c>
      <c r="G297">
        <v>90</v>
      </c>
      <c r="H297">
        <v>8</v>
      </c>
      <c r="I297" t="s">
        <v>15</v>
      </c>
      <c r="J297" t="s">
        <v>54</v>
      </c>
      <c r="K297">
        <v>75</v>
      </c>
      <c r="L297">
        <v>10000</v>
      </c>
      <c r="M297" t="s">
        <v>24</v>
      </c>
    </row>
    <row r="298" spans="1:13">
      <c r="A298">
        <v>297</v>
      </c>
      <c r="B298" t="s">
        <v>28</v>
      </c>
      <c r="C298">
        <v>50</v>
      </c>
      <c r="D298" t="s">
        <v>29</v>
      </c>
      <c r="E298">
        <v>6.1</v>
      </c>
      <c r="F298">
        <v>6</v>
      </c>
      <c r="G298">
        <v>90</v>
      </c>
      <c r="H298">
        <v>8</v>
      </c>
      <c r="I298" t="s">
        <v>15</v>
      </c>
      <c r="J298" t="s">
        <v>54</v>
      </c>
      <c r="K298">
        <v>75</v>
      </c>
      <c r="L298">
        <v>10000</v>
      </c>
      <c r="M298" t="s">
        <v>24</v>
      </c>
    </row>
    <row r="299" spans="1:13">
      <c r="A299">
        <v>298</v>
      </c>
      <c r="B299" t="s">
        <v>28</v>
      </c>
      <c r="C299">
        <v>50</v>
      </c>
      <c r="D299" t="s">
        <v>29</v>
      </c>
      <c r="E299">
        <v>6.1</v>
      </c>
      <c r="F299">
        <v>6</v>
      </c>
      <c r="G299">
        <v>90</v>
      </c>
      <c r="H299">
        <v>8</v>
      </c>
      <c r="I299" t="s">
        <v>15</v>
      </c>
      <c r="J299" t="s">
        <v>54</v>
      </c>
      <c r="K299">
        <v>75</v>
      </c>
      <c r="L299">
        <v>10000</v>
      </c>
      <c r="M299" t="s">
        <v>24</v>
      </c>
    </row>
    <row r="300" spans="1:13">
      <c r="A300">
        <v>299</v>
      </c>
      <c r="B300" t="s">
        <v>28</v>
      </c>
      <c r="C300">
        <v>51</v>
      </c>
      <c r="D300" t="s">
        <v>33</v>
      </c>
      <c r="E300">
        <v>8.5</v>
      </c>
      <c r="F300">
        <v>9</v>
      </c>
      <c r="G300">
        <v>30</v>
      </c>
      <c r="H300">
        <v>3</v>
      </c>
      <c r="I300" t="s">
        <v>19</v>
      </c>
      <c r="J300" t="s">
        <v>20</v>
      </c>
      <c r="K300">
        <v>65</v>
      </c>
      <c r="L300">
        <v>5000</v>
      </c>
      <c r="M300" t="s">
        <v>17</v>
      </c>
    </row>
    <row r="301" spans="1:13">
      <c r="A301">
        <v>300</v>
      </c>
      <c r="B301" t="s">
        <v>28</v>
      </c>
      <c r="C301">
        <v>51</v>
      </c>
      <c r="D301" t="s">
        <v>33</v>
      </c>
      <c r="E301">
        <v>8.5</v>
      </c>
      <c r="F301">
        <v>9</v>
      </c>
      <c r="G301">
        <v>30</v>
      </c>
      <c r="H301">
        <v>3</v>
      </c>
      <c r="I301" t="s">
        <v>19</v>
      </c>
      <c r="J301" t="s">
        <v>20</v>
      </c>
      <c r="K301">
        <v>65</v>
      </c>
      <c r="L301">
        <v>5000</v>
      </c>
      <c r="M301" t="s">
        <v>17</v>
      </c>
    </row>
    <row r="302" spans="1:13">
      <c r="A302">
        <v>301</v>
      </c>
      <c r="B302" t="s">
        <v>28</v>
      </c>
      <c r="C302">
        <v>51</v>
      </c>
      <c r="D302" t="s">
        <v>33</v>
      </c>
      <c r="E302">
        <v>8.5</v>
      </c>
      <c r="F302">
        <v>9</v>
      </c>
      <c r="G302">
        <v>30</v>
      </c>
      <c r="H302">
        <v>3</v>
      </c>
      <c r="I302" t="s">
        <v>19</v>
      </c>
      <c r="J302" t="s">
        <v>20</v>
      </c>
      <c r="K302">
        <v>65</v>
      </c>
      <c r="L302">
        <v>5000</v>
      </c>
      <c r="M302" t="s">
        <v>17</v>
      </c>
    </row>
    <row r="303" spans="1:13">
      <c r="A303">
        <v>302</v>
      </c>
      <c r="B303" t="s">
        <v>28</v>
      </c>
      <c r="C303">
        <v>51</v>
      </c>
      <c r="D303" t="s">
        <v>33</v>
      </c>
      <c r="E303">
        <v>8.5</v>
      </c>
      <c r="F303">
        <v>9</v>
      </c>
      <c r="G303">
        <v>30</v>
      </c>
      <c r="H303">
        <v>3</v>
      </c>
      <c r="I303" t="s">
        <v>19</v>
      </c>
      <c r="J303" t="s">
        <v>20</v>
      </c>
      <c r="K303">
        <v>65</v>
      </c>
      <c r="L303">
        <v>5000</v>
      </c>
      <c r="M303" t="s">
        <v>17</v>
      </c>
    </row>
    <row r="304" spans="1:13">
      <c r="A304">
        <v>303</v>
      </c>
      <c r="B304" t="s">
        <v>28</v>
      </c>
      <c r="C304">
        <v>51</v>
      </c>
      <c r="D304" t="s">
        <v>29</v>
      </c>
      <c r="E304">
        <v>7.1</v>
      </c>
      <c r="F304">
        <v>7</v>
      </c>
      <c r="G304">
        <v>55</v>
      </c>
      <c r="H304">
        <v>6</v>
      </c>
      <c r="I304" t="s">
        <v>19</v>
      </c>
      <c r="J304" t="s">
        <v>48</v>
      </c>
      <c r="K304">
        <v>72</v>
      </c>
      <c r="L304">
        <v>6000</v>
      </c>
      <c r="M304" t="s">
        <v>17</v>
      </c>
    </row>
    <row r="305" spans="1:13">
      <c r="A305">
        <v>304</v>
      </c>
      <c r="B305" t="s">
        <v>28</v>
      </c>
      <c r="C305">
        <v>51</v>
      </c>
      <c r="D305" t="s">
        <v>29</v>
      </c>
      <c r="E305">
        <v>6</v>
      </c>
      <c r="F305">
        <v>6</v>
      </c>
      <c r="G305">
        <v>90</v>
      </c>
      <c r="H305">
        <v>8</v>
      </c>
      <c r="I305" t="s">
        <v>15</v>
      </c>
      <c r="J305" t="s">
        <v>54</v>
      </c>
      <c r="K305">
        <v>75</v>
      </c>
      <c r="L305">
        <v>10000</v>
      </c>
      <c r="M305" t="s">
        <v>24</v>
      </c>
    </row>
    <row r="306" spans="1:13">
      <c r="A306">
        <v>305</v>
      </c>
      <c r="B306" t="s">
        <v>28</v>
      </c>
      <c r="C306">
        <v>51</v>
      </c>
      <c r="D306" t="s">
        <v>29</v>
      </c>
      <c r="E306">
        <v>6.1</v>
      </c>
      <c r="F306">
        <v>6</v>
      </c>
      <c r="G306">
        <v>90</v>
      </c>
      <c r="H306">
        <v>8</v>
      </c>
      <c r="I306" t="s">
        <v>15</v>
      </c>
      <c r="J306" t="s">
        <v>54</v>
      </c>
      <c r="K306">
        <v>75</v>
      </c>
      <c r="L306">
        <v>10000</v>
      </c>
      <c r="M306" t="s">
        <v>24</v>
      </c>
    </row>
    <row r="307" spans="1:13">
      <c r="A307">
        <v>306</v>
      </c>
      <c r="B307" t="s">
        <v>28</v>
      </c>
      <c r="C307">
        <v>51</v>
      </c>
      <c r="D307" t="s">
        <v>29</v>
      </c>
      <c r="E307">
        <v>6.1</v>
      </c>
      <c r="F307">
        <v>6</v>
      </c>
      <c r="G307">
        <v>90</v>
      </c>
      <c r="H307">
        <v>8</v>
      </c>
      <c r="I307" t="s">
        <v>15</v>
      </c>
      <c r="J307" t="s">
        <v>54</v>
      </c>
      <c r="K307">
        <v>75</v>
      </c>
      <c r="L307">
        <v>10000</v>
      </c>
      <c r="M307" t="s">
        <v>24</v>
      </c>
    </row>
    <row r="308" spans="1:13">
      <c r="A308">
        <v>307</v>
      </c>
      <c r="B308" t="s">
        <v>28</v>
      </c>
      <c r="C308">
        <v>52</v>
      </c>
      <c r="D308" t="s">
        <v>34</v>
      </c>
      <c r="E308">
        <v>6.5</v>
      </c>
      <c r="F308">
        <v>7</v>
      </c>
      <c r="G308">
        <v>45</v>
      </c>
      <c r="H308">
        <v>7</v>
      </c>
      <c r="I308" t="s">
        <v>15</v>
      </c>
      <c r="J308" t="s">
        <v>44</v>
      </c>
      <c r="K308">
        <v>72</v>
      </c>
      <c r="L308">
        <v>6000</v>
      </c>
      <c r="M308" t="s">
        <v>25</v>
      </c>
    </row>
    <row r="309" spans="1:13">
      <c r="A309">
        <v>308</v>
      </c>
      <c r="B309" t="s">
        <v>28</v>
      </c>
      <c r="C309">
        <v>52</v>
      </c>
      <c r="D309" t="s">
        <v>34</v>
      </c>
      <c r="E309">
        <v>6.5</v>
      </c>
      <c r="F309">
        <v>7</v>
      </c>
      <c r="G309">
        <v>45</v>
      </c>
      <c r="H309">
        <v>7</v>
      </c>
      <c r="I309" t="s">
        <v>15</v>
      </c>
      <c r="J309" t="s">
        <v>44</v>
      </c>
      <c r="K309">
        <v>72</v>
      </c>
      <c r="L309">
        <v>6000</v>
      </c>
      <c r="M309" t="s">
        <v>25</v>
      </c>
    </row>
    <row r="310" spans="1:13">
      <c r="A310">
        <v>309</v>
      </c>
      <c r="B310" t="s">
        <v>28</v>
      </c>
      <c r="C310">
        <v>52</v>
      </c>
      <c r="D310" t="s">
        <v>34</v>
      </c>
      <c r="E310">
        <v>6.6</v>
      </c>
      <c r="F310">
        <v>7</v>
      </c>
      <c r="G310">
        <v>45</v>
      </c>
      <c r="H310">
        <v>7</v>
      </c>
      <c r="I310" t="s">
        <v>15</v>
      </c>
      <c r="J310" t="s">
        <v>44</v>
      </c>
      <c r="K310">
        <v>72</v>
      </c>
      <c r="L310">
        <v>6000</v>
      </c>
      <c r="M310" t="s">
        <v>25</v>
      </c>
    </row>
    <row r="311" spans="1:13">
      <c r="A311">
        <v>310</v>
      </c>
      <c r="B311" t="s">
        <v>28</v>
      </c>
      <c r="C311">
        <v>52</v>
      </c>
      <c r="D311" t="s">
        <v>34</v>
      </c>
      <c r="E311">
        <v>6.6</v>
      </c>
      <c r="F311">
        <v>7</v>
      </c>
      <c r="G311">
        <v>45</v>
      </c>
      <c r="H311">
        <v>7</v>
      </c>
      <c r="I311" t="s">
        <v>15</v>
      </c>
      <c r="J311" t="s">
        <v>44</v>
      </c>
      <c r="K311">
        <v>72</v>
      </c>
      <c r="L311">
        <v>6000</v>
      </c>
      <c r="M311" t="s">
        <v>25</v>
      </c>
    </row>
    <row r="312" spans="1:13">
      <c r="A312">
        <v>311</v>
      </c>
      <c r="B312" t="s">
        <v>28</v>
      </c>
      <c r="C312">
        <v>52</v>
      </c>
      <c r="D312" t="s">
        <v>34</v>
      </c>
      <c r="E312">
        <v>6.6</v>
      </c>
      <c r="F312">
        <v>7</v>
      </c>
      <c r="G312">
        <v>45</v>
      </c>
      <c r="H312">
        <v>7</v>
      </c>
      <c r="I312" t="s">
        <v>15</v>
      </c>
      <c r="J312" t="s">
        <v>44</v>
      </c>
      <c r="K312">
        <v>72</v>
      </c>
      <c r="L312">
        <v>6000</v>
      </c>
      <c r="M312" t="s">
        <v>25</v>
      </c>
    </row>
    <row r="313" spans="1:13">
      <c r="A313">
        <v>312</v>
      </c>
      <c r="B313" t="s">
        <v>28</v>
      </c>
      <c r="C313">
        <v>52</v>
      </c>
      <c r="D313" t="s">
        <v>34</v>
      </c>
      <c r="E313">
        <v>6.6</v>
      </c>
      <c r="F313">
        <v>7</v>
      </c>
      <c r="G313">
        <v>45</v>
      </c>
      <c r="H313">
        <v>7</v>
      </c>
      <c r="I313" t="s">
        <v>15</v>
      </c>
      <c r="J313" t="s">
        <v>44</v>
      </c>
      <c r="K313">
        <v>72</v>
      </c>
      <c r="L313">
        <v>6000</v>
      </c>
      <c r="M313" t="s">
        <v>25</v>
      </c>
    </row>
    <row r="314" spans="1:13">
      <c r="A314">
        <v>313</v>
      </c>
      <c r="B314" t="s">
        <v>28</v>
      </c>
      <c r="C314">
        <v>52</v>
      </c>
      <c r="D314" t="s">
        <v>33</v>
      </c>
      <c r="E314">
        <v>8.4</v>
      </c>
      <c r="F314">
        <v>9</v>
      </c>
      <c r="G314">
        <v>30</v>
      </c>
      <c r="H314">
        <v>3</v>
      </c>
      <c r="I314" t="s">
        <v>19</v>
      </c>
      <c r="J314" t="s">
        <v>20</v>
      </c>
      <c r="K314">
        <v>65</v>
      </c>
      <c r="L314">
        <v>5000</v>
      </c>
      <c r="M314" t="s">
        <v>17</v>
      </c>
    </row>
    <row r="315" spans="1:13">
      <c r="A315">
        <v>314</v>
      </c>
      <c r="B315" t="s">
        <v>28</v>
      </c>
      <c r="C315">
        <v>52</v>
      </c>
      <c r="D315" t="s">
        <v>33</v>
      </c>
      <c r="E315">
        <v>8.4</v>
      </c>
      <c r="F315">
        <v>9</v>
      </c>
      <c r="G315">
        <v>30</v>
      </c>
      <c r="H315">
        <v>3</v>
      </c>
      <c r="I315" t="s">
        <v>19</v>
      </c>
      <c r="J315" t="s">
        <v>20</v>
      </c>
      <c r="K315">
        <v>65</v>
      </c>
      <c r="L315">
        <v>5000</v>
      </c>
      <c r="M315" t="s">
        <v>17</v>
      </c>
    </row>
    <row r="316" spans="1:13">
      <c r="A316">
        <v>315</v>
      </c>
      <c r="B316" t="s">
        <v>28</v>
      </c>
      <c r="C316">
        <v>52</v>
      </c>
      <c r="D316" t="s">
        <v>33</v>
      </c>
      <c r="E316">
        <v>8.4</v>
      </c>
      <c r="F316">
        <v>9</v>
      </c>
      <c r="G316">
        <v>30</v>
      </c>
      <c r="H316">
        <v>3</v>
      </c>
      <c r="I316" t="s">
        <v>19</v>
      </c>
      <c r="J316" t="s">
        <v>20</v>
      </c>
      <c r="K316">
        <v>65</v>
      </c>
      <c r="L316">
        <v>5000</v>
      </c>
      <c r="M316" t="s">
        <v>17</v>
      </c>
    </row>
    <row r="317" spans="1:13">
      <c r="A317">
        <v>316</v>
      </c>
      <c r="B317" t="s">
        <v>28</v>
      </c>
      <c r="C317">
        <v>53</v>
      </c>
      <c r="D317" t="s">
        <v>33</v>
      </c>
      <c r="E317">
        <v>8.3000000000000007</v>
      </c>
      <c r="F317">
        <v>9</v>
      </c>
      <c r="G317">
        <v>30</v>
      </c>
      <c r="H317">
        <v>3</v>
      </c>
      <c r="I317" t="s">
        <v>19</v>
      </c>
      <c r="J317" t="s">
        <v>20</v>
      </c>
      <c r="K317">
        <v>65</v>
      </c>
      <c r="L317">
        <v>5000</v>
      </c>
      <c r="M317" t="s">
        <v>25</v>
      </c>
    </row>
    <row r="318" spans="1:13">
      <c r="A318">
        <v>317</v>
      </c>
      <c r="B318" t="s">
        <v>28</v>
      </c>
      <c r="C318">
        <v>53</v>
      </c>
      <c r="D318" t="s">
        <v>33</v>
      </c>
      <c r="E318">
        <v>8.5</v>
      </c>
      <c r="F318">
        <v>9</v>
      </c>
      <c r="G318">
        <v>30</v>
      </c>
      <c r="H318">
        <v>3</v>
      </c>
      <c r="I318" t="s">
        <v>19</v>
      </c>
      <c r="J318" t="s">
        <v>20</v>
      </c>
      <c r="K318">
        <v>65</v>
      </c>
      <c r="L318">
        <v>5000</v>
      </c>
      <c r="M318" t="s">
        <v>17</v>
      </c>
    </row>
    <row r="319" spans="1:13">
      <c r="A319">
        <v>318</v>
      </c>
      <c r="B319" t="s">
        <v>28</v>
      </c>
      <c r="C319">
        <v>53</v>
      </c>
      <c r="D319" t="s">
        <v>33</v>
      </c>
      <c r="E319">
        <v>8.5</v>
      </c>
      <c r="F319">
        <v>9</v>
      </c>
      <c r="G319">
        <v>30</v>
      </c>
      <c r="H319">
        <v>3</v>
      </c>
      <c r="I319" t="s">
        <v>19</v>
      </c>
      <c r="J319" t="s">
        <v>20</v>
      </c>
      <c r="K319">
        <v>65</v>
      </c>
      <c r="L319">
        <v>5000</v>
      </c>
      <c r="M319" t="s">
        <v>17</v>
      </c>
    </row>
    <row r="320" spans="1:13">
      <c r="A320">
        <v>319</v>
      </c>
      <c r="B320" t="s">
        <v>28</v>
      </c>
      <c r="C320">
        <v>53</v>
      </c>
      <c r="D320" t="s">
        <v>33</v>
      </c>
      <c r="E320">
        <v>8.4</v>
      </c>
      <c r="F320">
        <v>9</v>
      </c>
      <c r="G320">
        <v>30</v>
      </c>
      <c r="H320">
        <v>3</v>
      </c>
      <c r="I320" t="s">
        <v>19</v>
      </c>
      <c r="J320" t="s">
        <v>20</v>
      </c>
      <c r="K320">
        <v>65</v>
      </c>
      <c r="L320">
        <v>5000</v>
      </c>
      <c r="M320" t="s">
        <v>17</v>
      </c>
    </row>
    <row r="321" spans="1:13">
      <c r="A321">
        <v>320</v>
      </c>
      <c r="B321" t="s">
        <v>28</v>
      </c>
      <c r="C321">
        <v>53</v>
      </c>
      <c r="D321" t="s">
        <v>33</v>
      </c>
      <c r="E321">
        <v>8.4</v>
      </c>
      <c r="F321">
        <v>9</v>
      </c>
      <c r="G321">
        <v>30</v>
      </c>
      <c r="H321">
        <v>3</v>
      </c>
      <c r="I321" t="s">
        <v>19</v>
      </c>
      <c r="J321" t="s">
        <v>20</v>
      </c>
      <c r="K321">
        <v>65</v>
      </c>
      <c r="L321">
        <v>5000</v>
      </c>
      <c r="M321" t="s">
        <v>17</v>
      </c>
    </row>
    <row r="322" spans="1:13">
      <c r="A322">
        <v>321</v>
      </c>
      <c r="B322" t="s">
        <v>28</v>
      </c>
      <c r="C322">
        <v>53</v>
      </c>
      <c r="D322" t="s">
        <v>33</v>
      </c>
      <c r="E322">
        <v>8.5</v>
      </c>
      <c r="F322">
        <v>9</v>
      </c>
      <c r="G322">
        <v>30</v>
      </c>
      <c r="H322">
        <v>3</v>
      </c>
      <c r="I322" t="s">
        <v>19</v>
      </c>
      <c r="J322" t="s">
        <v>20</v>
      </c>
      <c r="K322">
        <v>65</v>
      </c>
      <c r="L322">
        <v>5000</v>
      </c>
      <c r="M322" t="s">
        <v>17</v>
      </c>
    </row>
    <row r="323" spans="1:13">
      <c r="A323">
        <v>322</v>
      </c>
      <c r="B323" t="s">
        <v>28</v>
      </c>
      <c r="C323">
        <v>53</v>
      </c>
      <c r="D323" t="s">
        <v>33</v>
      </c>
      <c r="E323">
        <v>8.4</v>
      </c>
      <c r="F323">
        <v>9</v>
      </c>
      <c r="G323">
        <v>30</v>
      </c>
      <c r="H323">
        <v>3</v>
      </c>
      <c r="I323" t="s">
        <v>19</v>
      </c>
      <c r="J323" t="s">
        <v>20</v>
      </c>
      <c r="K323">
        <v>65</v>
      </c>
      <c r="L323">
        <v>5000</v>
      </c>
      <c r="M323" t="s">
        <v>17</v>
      </c>
    </row>
    <row r="324" spans="1:13">
      <c r="A324">
        <v>323</v>
      </c>
      <c r="B324" t="s">
        <v>28</v>
      </c>
      <c r="C324">
        <v>53</v>
      </c>
      <c r="D324" t="s">
        <v>33</v>
      </c>
      <c r="E324">
        <v>8.4</v>
      </c>
      <c r="F324">
        <v>9</v>
      </c>
      <c r="G324">
        <v>30</v>
      </c>
      <c r="H324">
        <v>3</v>
      </c>
      <c r="I324" t="s">
        <v>19</v>
      </c>
      <c r="J324" t="s">
        <v>20</v>
      </c>
      <c r="K324">
        <v>65</v>
      </c>
      <c r="L324">
        <v>5000</v>
      </c>
      <c r="M324" t="s">
        <v>17</v>
      </c>
    </row>
    <row r="325" spans="1:13">
      <c r="A325">
        <v>324</v>
      </c>
      <c r="B325" t="s">
        <v>28</v>
      </c>
      <c r="C325">
        <v>53</v>
      </c>
      <c r="D325" t="s">
        <v>33</v>
      </c>
      <c r="E325">
        <v>8.5</v>
      </c>
      <c r="F325">
        <v>9</v>
      </c>
      <c r="G325">
        <v>30</v>
      </c>
      <c r="H325">
        <v>3</v>
      </c>
      <c r="I325" t="s">
        <v>19</v>
      </c>
      <c r="J325" t="s">
        <v>20</v>
      </c>
      <c r="K325">
        <v>65</v>
      </c>
      <c r="L325">
        <v>5000</v>
      </c>
      <c r="M325" t="s">
        <v>17</v>
      </c>
    </row>
    <row r="326" spans="1:13">
      <c r="A326">
        <v>325</v>
      </c>
      <c r="B326" t="s">
        <v>28</v>
      </c>
      <c r="C326">
        <v>53</v>
      </c>
      <c r="D326" t="s">
        <v>33</v>
      </c>
      <c r="E326">
        <v>8.3000000000000007</v>
      </c>
      <c r="F326">
        <v>9</v>
      </c>
      <c r="G326">
        <v>30</v>
      </c>
      <c r="H326">
        <v>3</v>
      </c>
      <c r="I326" t="s">
        <v>19</v>
      </c>
      <c r="J326" t="s">
        <v>20</v>
      </c>
      <c r="K326">
        <v>65</v>
      </c>
      <c r="L326">
        <v>5000</v>
      </c>
      <c r="M326" t="s">
        <v>17</v>
      </c>
    </row>
    <row r="327" spans="1:13">
      <c r="A327">
        <v>326</v>
      </c>
      <c r="B327" t="s">
        <v>28</v>
      </c>
      <c r="C327">
        <v>53</v>
      </c>
      <c r="D327" t="s">
        <v>33</v>
      </c>
      <c r="E327">
        <v>8.5</v>
      </c>
      <c r="F327">
        <v>9</v>
      </c>
      <c r="G327">
        <v>30</v>
      </c>
      <c r="H327">
        <v>3</v>
      </c>
      <c r="I327" t="s">
        <v>19</v>
      </c>
      <c r="J327" t="s">
        <v>20</v>
      </c>
      <c r="K327">
        <v>65</v>
      </c>
      <c r="L327">
        <v>5000</v>
      </c>
      <c r="M327" t="s">
        <v>17</v>
      </c>
    </row>
    <row r="328" spans="1:13">
      <c r="A328">
        <v>327</v>
      </c>
      <c r="B328" t="s">
        <v>28</v>
      </c>
      <c r="C328">
        <v>53</v>
      </c>
      <c r="D328" t="s">
        <v>33</v>
      </c>
      <c r="E328">
        <v>8.3000000000000007</v>
      </c>
      <c r="F328">
        <v>9</v>
      </c>
      <c r="G328">
        <v>30</v>
      </c>
      <c r="H328">
        <v>3</v>
      </c>
      <c r="I328" t="s">
        <v>19</v>
      </c>
      <c r="J328" t="s">
        <v>20</v>
      </c>
      <c r="K328">
        <v>65</v>
      </c>
      <c r="L328">
        <v>5000</v>
      </c>
      <c r="M328" t="s">
        <v>17</v>
      </c>
    </row>
    <row r="329" spans="1:13">
      <c r="A329">
        <v>328</v>
      </c>
      <c r="B329" t="s">
        <v>28</v>
      </c>
      <c r="C329">
        <v>53</v>
      </c>
      <c r="D329" t="s">
        <v>33</v>
      </c>
      <c r="E329">
        <v>8.5</v>
      </c>
      <c r="F329">
        <v>9</v>
      </c>
      <c r="G329">
        <v>30</v>
      </c>
      <c r="H329">
        <v>3</v>
      </c>
      <c r="I329" t="s">
        <v>19</v>
      </c>
      <c r="J329" t="s">
        <v>20</v>
      </c>
      <c r="K329">
        <v>65</v>
      </c>
      <c r="L329">
        <v>5000</v>
      </c>
      <c r="M329" t="s">
        <v>17</v>
      </c>
    </row>
    <row r="330" spans="1:13">
      <c r="A330">
        <v>329</v>
      </c>
      <c r="B330" t="s">
        <v>28</v>
      </c>
      <c r="C330">
        <v>53</v>
      </c>
      <c r="D330" t="s">
        <v>33</v>
      </c>
      <c r="E330">
        <v>8.3000000000000007</v>
      </c>
      <c r="F330">
        <v>9</v>
      </c>
      <c r="G330">
        <v>30</v>
      </c>
      <c r="H330">
        <v>3</v>
      </c>
      <c r="I330" t="s">
        <v>19</v>
      </c>
      <c r="J330" t="s">
        <v>20</v>
      </c>
      <c r="K330">
        <v>65</v>
      </c>
      <c r="L330">
        <v>5000</v>
      </c>
      <c r="M330" t="s">
        <v>17</v>
      </c>
    </row>
    <row r="331" spans="1:13">
      <c r="A331">
        <v>330</v>
      </c>
      <c r="B331" t="s">
        <v>28</v>
      </c>
      <c r="C331">
        <v>53</v>
      </c>
      <c r="D331" t="s">
        <v>33</v>
      </c>
      <c r="E331">
        <v>8.5</v>
      </c>
      <c r="F331">
        <v>9</v>
      </c>
      <c r="G331">
        <v>30</v>
      </c>
      <c r="H331">
        <v>3</v>
      </c>
      <c r="I331" t="s">
        <v>19</v>
      </c>
      <c r="J331" t="s">
        <v>20</v>
      </c>
      <c r="K331">
        <v>65</v>
      </c>
      <c r="L331">
        <v>5000</v>
      </c>
      <c r="M331" t="s">
        <v>17</v>
      </c>
    </row>
    <row r="332" spans="1:13">
      <c r="A332">
        <v>331</v>
      </c>
      <c r="B332" t="s">
        <v>28</v>
      </c>
      <c r="C332">
        <v>53</v>
      </c>
      <c r="D332" t="s">
        <v>33</v>
      </c>
      <c r="E332">
        <v>8.5</v>
      </c>
      <c r="F332">
        <v>9</v>
      </c>
      <c r="G332">
        <v>30</v>
      </c>
      <c r="H332">
        <v>3</v>
      </c>
      <c r="I332" t="s">
        <v>19</v>
      </c>
      <c r="J332" t="s">
        <v>20</v>
      </c>
      <c r="K332">
        <v>65</v>
      </c>
      <c r="L332">
        <v>5000</v>
      </c>
      <c r="M332" t="s">
        <v>17</v>
      </c>
    </row>
    <row r="333" spans="1:13">
      <c r="A333">
        <v>332</v>
      </c>
      <c r="B333" t="s">
        <v>28</v>
      </c>
      <c r="C333">
        <v>53</v>
      </c>
      <c r="D333" t="s">
        <v>33</v>
      </c>
      <c r="E333">
        <v>8.4</v>
      </c>
      <c r="F333">
        <v>9</v>
      </c>
      <c r="G333">
        <v>30</v>
      </c>
      <c r="H333">
        <v>3</v>
      </c>
      <c r="I333" t="s">
        <v>19</v>
      </c>
      <c r="J333" t="s">
        <v>20</v>
      </c>
      <c r="K333">
        <v>65</v>
      </c>
      <c r="L333">
        <v>5000</v>
      </c>
      <c r="M333" t="s">
        <v>17</v>
      </c>
    </row>
    <row r="334" spans="1:13">
      <c r="A334">
        <v>333</v>
      </c>
      <c r="B334" t="s">
        <v>28</v>
      </c>
      <c r="C334">
        <v>54</v>
      </c>
      <c r="D334" t="s">
        <v>33</v>
      </c>
      <c r="E334">
        <v>8.4</v>
      </c>
      <c r="F334">
        <v>9</v>
      </c>
      <c r="G334">
        <v>30</v>
      </c>
      <c r="H334">
        <v>3</v>
      </c>
      <c r="I334" t="s">
        <v>19</v>
      </c>
      <c r="J334" t="s">
        <v>20</v>
      </c>
      <c r="K334">
        <v>65</v>
      </c>
      <c r="L334">
        <v>5000</v>
      </c>
      <c r="M334" t="s">
        <v>17</v>
      </c>
    </row>
    <row r="335" spans="1:13">
      <c r="A335">
        <v>334</v>
      </c>
      <c r="B335" t="s">
        <v>28</v>
      </c>
      <c r="C335">
        <v>54</v>
      </c>
      <c r="D335" t="s">
        <v>33</v>
      </c>
      <c r="E335">
        <v>8.4</v>
      </c>
      <c r="F335">
        <v>9</v>
      </c>
      <c r="G335">
        <v>30</v>
      </c>
      <c r="H335">
        <v>3</v>
      </c>
      <c r="I335" t="s">
        <v>19</v>
      </c>
      <c r="J335" t="s">
        <v>20</v>
      </c>
      <c r="K335">
        <v>65</v>
      </c>
      <c r="L335">
        <v>5000</v>
      </c>
      <c r="M335" t="s">
        <v>17</v>
      </c>
    </row>
    <row r="336" spans="1:13">
      <c r="A336">
        <v>335</v>
      </c>
      <c r="B336" t="s">
        <v>28</v>
      </c>
      <c r="C336">
        <v>54</v>
      </c>
      <c r="D336" t="s">
        <v>33</v>
      </c>
      <c r="E336">
        <v>8.4</v>
      </c>
      <c r="F336">
        <v>9</v>
      </c>
      <c r="G336">
        <v>30</v>
      </c>
      <c r="H336">
        <v>3</v>
      </c>
      <c r="I336" t="s">
        <v>19</v>
      </c>
      <c r="J336" t="s">
        <v>20</v>
      </c>
      <c r="K336">
        <v>65</v>
      </c>
      <c r="L336">
        <v>5000</v>
      </c>
      <c r="M336" t="s">
        <v>17</v>
      </c>
    </row>
    <row r="337" spans="1:13">
      <c r="A337">
        <v>336</v>
      </c>
      <c r="B337" t="s">
        <v>28</v>
      </c>
      <c r="C337">
        <v>54</v>
      </c>
      <c r="D337" t="s">
        <v>33</v>
      </c>
      <c r="E337">
        <v>8.4</v>
      </c>
      <c r="F337">
        <v>9</v>
      </c>
      <c r="G337">
        <v>30</v>
      </c>
      <c r="H337">
        <v>3</v>
      </c>
      <c r="I337" t="s">
        <v>19</v>
      </c>
      <c r="J337" t="s">
        <v>20</v>
      </c>
      <c r="K337">
        <v>65</v>
      </c>
      <c r="L337">
        <v>5000</v>
      </c>
      <c r="M337" t="s">
        <v>17</v>
      </c>
    </row>
    <row r="338" spans="1:13">
      <c r="A338">
        <v>337</v>
      </c>
      <c r="B338" t="s">
        <v>28</v>
      </c>
      <c r="C338">
        <v>54</v>
      </c>
      <c r="D338" t="s">
        <v>33</v>
      </c>
      <c r="E338">
        <v>8.4</v>
      </c>
      <c r="F338">
        <v>9</v>
      </c>
      <c r="G338">
        <v>30</v>
      </c>
      <c r="H338">
        <v>3</v>
      </c>
      <c r="I338" t="s">
        <v>19</v>
      </c>
      <c r="J338" t="s">
        <v>20</v>
      </c>
      <c r="K338">
        <v>65</v>
      </c>
      <c r="L338">
        <v>5000</v>
      </c>
      <c r="M338" t="s">
        <v>17</v>
      </c>
    </row>
    <row r="339" spans="1:13">
      <c r="A339">
        <v>338</v>
      </c>
      <c r="B339" t="s">
        <v>28</v>
      </c>
      <c r="C339">
        <v>54</v>
      </c>
      <c r="D339" t="s">
        <v>33</v>
      </c>
      <c r="E339">
        <v>8.4</v>
      </c>
      <c r="F339">
        <v>9</v>
      </c>
      <c r="G339">
        <v>30</v>
      </c>
      <c r="H339">
        <v>3</v>
      </c>
      <c r="I339" t="s">
        <v>19</v>
      </c>
      <c r="J339" t="s">
        <v>20</v>
      </c>
      <c r="K339">
        <v>65</v>
      </c>
      <c r="L339">
        <v>5000</v>
      </c>
      <c r="M339" t="s">
        <v>17</v>
      </c>
    </row>
    <row r="340" spans="1:13">
      <c r="A340">
        <v>339</v>
      </c>
      <c r="B340" t="s">
        <v>28</v>
      </c>
      <c r="C340">
        <v>54</v>
      </c>
      <c r="D340" t="s">
        <v>33</v>
      </c>
      <c r="E340">
        <v>8.5</v>
      </c>
      <c r="F340">
        <v>9</v>
      </c>
      <c r="G340">
        <v>30</v>
      </c>
      <c r="H340">
        <v>3</v>
      </c>
      <c r="I340" t="s">
        <v>19</v>
      </c>
      <c r="J340" t="s">
        <v>20</v>
      </c>
      <c r="K340">
        <v>65</v>
      </c>
      <c r="L340">
        <v>5000</v>
      </c>
      <c r="M340" t="s">
        <v>17</v>
      </c>
    </row>
    <row r="341" spans="1:13">
      <c r="A341">
        <v>340</v>
      </c>
      <c r="B341" t="s">
        <v>28</v>
      </c>
      <c r="C341">
        <v>55</v>
      </c>
      <c r="D341" t="s">
        <v>29</v>
      </c>
      <c r="E341">
        <v>8.1</v>
      </c>
      <c r="F341">
        <v>9</v>
      </c>
      <c r="G341">
        <v>75</v>
      </c>
      <c r="H341">
        <v>4</v>
      </c>
      <c r="I341" t="s">
        <v>15</v>
      </c>
      <c r="J341" t="s">
        <v>54</v>
      </c>
      <c r="K341">
        <v>72</v>
      </c>
      <c r="L341">
        <v>5000</v>
      </c>
      <c r="M341" t="s">
        <v>24</v>
      </c>
    </row>
    <row r="342" spans="1:13">
      <c r="A342">
        <v>341</v>
      </c>
      <c r="B342" t="s">
        <v>28</v>
      </c>
      <c r="C342">
        <v>55</v>
      </c>
      <c r="D342" t="s">
        <v>29</v>
      </c>
      <c r="E342">
        <v>8.1</v>
      </c>
      <c r="F342">
        <v>9</v>
      </c>
      <c r="G342">
        <v>75</v>
      </c>
      <c r="H342">
        <v>4</v>
      </c>
      <c r="I342" t="s">
        <v>15</v>
      </c>
      <c r="J342" t="s">
        <v>54</v>
      </c>
      <c r="K342">
        <v>72</v>
      </c>
      <c r="L342">
        <v>5000</v>
      </c>
      <c r="M342" t="s">
        <v>24</v>
      </c>
    </row>
    <row r="343" spans="1:13">
      <c r="A343">
        <v>342</v>
      </c>
      <c r="B343" t="s">
        <v>28</v>
      </c>
      <c r="C343">
        <v>56</v>
      </c>
      <c r="D343" t="s">
        <v>18</v>
      </c>
      <c r="E343">
        <v>8.1999999999999993</v>
      </c>
      <c r="F343">
        <v>9</v>
      </c>
      <c r="G343">
        <v>90</v>
      </c>
      <c r="H343">
        <v>3</v>
      </c>
      <c r="I343" t="s">
        <v>19</v>
      </c>
      <c r="J343" t="s">
        <v>56</v>
      </c>
      <c r="K343">
        <v>65</v>
      </c>
      <c r="L343">
        <v>10000</v>
      </c>
      <c r="M343" t="s">
        <v>17</v>
      </c>
    </row>
    <row r="344" spans="1:13">
      <c r="A344">
        <v>343</v>
      </c>
      <c r="B344" t="s">
        <v>28</v>
      </c>
      <c r="C344">
        <v>56</v>
      </c>
      <c r="D344" t="s">
        <v>18</v>
      </c>
      <c r="E344">
        <v>8.1999999999999993</v>
      </c>
      <c r="F344">
        <v>9</v>
      </c>
      <c r="G344">
        <v>90</v>
      </c>
      <c r="H344">
        <v>3</v>
      </c>
      <c r="I344" t="s">
        <v>19</v>
      </c>
      <c r="J344" t="s">
        <v>56</v>
      </c>
      <c r="K344">
        <v>65</v>
      </c>
      <c r="L344">
        <v>10000</v>
      </c>
      <c r="M344" t="s">
        <v>17</v>
      </c>
    </row>
    <row r="345" spans="1:13">
      <c r="A345">
        <v>344</v>
      </c>
      <c r="B345" t="s">
        <v>28</v>
      </c>
      <c r="C345">
        <v>57</v>
      </c>
      <c r="D345" t="s">
        <v>29</v>
      </c>
      <c r="E345">
        <v>8.1</v>
      </c>
      <c r="F345">
        <v>9</v>
      </c>
      <c r="G345">
        <v>75</v>
      </c>
      <c r="H345">
        <v>3</v>
      </c>
      <c r="I345" t="s">
        <v>15</v>
      </c>
      <c r="J345" t="s">
        <v>54</v>
      </c>
      <c r="K345">
        <v>68</v>
      </c>
      <c r="L345">
        <v>7000</v>
      </c>
      <c r="M345" t="s">
        <v>17</v>
      </c>
    </row>
    <row r="346" spans="1:13">
      <c r="A346">
        <v>345</v>
      </c>
      <c r="B346" t="s">
        <v>28</v>
      </c>
      <c r="C346">
        <v>57</v>
      </c>
      <c r="D346" t="s">
        <v>29</v>
      </c>
      <c r="E346">
        <v>8.1999999999999993</v>
      </c>
      <c r="F346">
        <v>9</v>
      </c>
      <c r="G346">
        <v>75</v>
      </c>
      <c r="H346">
        <v>3</v>
      </c>
      <c r="I346" t="s">
        <v>15</v>
      </c>
      <c r="J346" t="s">
        <v>54</v>
      </c>
      <c r="K346">
        <v>68</v>
      </c>
      <c r="L346">
        <v>7000</v>
      </c>
      <c r="M346" t="s">
        <v>24</v>
      </c>
    </row>
    <row r="347" spans="1:13">
      <c r="A347">
        <v>346</v>
      </c>
      <c r="B347" t="s">
        <v>28</v>
      </c>
      <c r="C347">
        <v>57</v>
      </c>
      <c r="D347" t="s">
        <v>29</v>
      </c>
      <c r="E347">
        <v>8.1999999999999993</v>
      </c>
      <c r="F347">
        <v>9</v>
      </c>
      <c r="G347">
        <v>75</v>
      </c>
      <c r="H347">
        <v>3</v>
      </c>
      <c r="I347" t="s">
        <v>15</v>
      </c>
      <c r="J347" t="s">
        <v>54</v>
      </c>
      <c r="K347">
        <v>68</v>
      </c>
      <c r="L347">
        <v>7000</v>
      </c>
      <c r="M347" t="s">
        <v>24</v>
      </c>
    </row>
    <row r="348" spans="1:13">
      <c r="A348">
        <v>347</v>
      </c>
      <c r="B348" t="s">
        <v>28</v>
      </c>
      <c r="C348">
        <v>57</v>
      </c>
      <c r="D348" t="s">
        <v>29</v>
      </c>
      <c r="E348">
        <v>8.1999999999999993</v>
      </c>
      <c r="F348">
        <v>9</v>
      </c>
      <c r="G348">
        <v>75</v>
      </c>
      <c r="H348">
        <v>3</v>
      </c>
      <c r="I348" t="s">
        <v>15</v>
      </c>
      <c r="J348" t="s">
        <v>54</v>
      </c>
      <c r="K348">
        <v>68</v>
      </c>
      <c r="L348">
        <v>7000</v>
      </c>
      <c r="M348" t="s">
        <v>24</v>
      </c>
    </row>
    <row r="349" spans="1:13">
      <c r="A349">
        <v>348</v>
      </c>
      <c r="B349" t="s">
        <v>28</v>
      </c>
      <c r="C349">
        <v>57</v>
      </c>
      <c r="D349" t="s">
        <v>29</v>
      </c>
      <c r="E349">
        <v>8.1999999999999993</v>
      </c>
      <c r="F349">
        <v>9</v>
      </c>
      <c r="G349">
        <v>75</v>
      </c>
      <c r="H349">
        <v>3</v>
      </c>
      <c r="I349" t="s">
        <v>15</v>
      </c>
      <c r="J349" t="s">
        <v>54</v>
      </c>
      <c r="K349">
        <v>68</v>
      </c>
      <c r="L349">
        <v>7000</v>
      </c>
      <c r="M349" t="s">
        <v>24</v>
      </c>
    </row>
    <row r="350" spans="1:13">
      <c r="A350">
        <v>349</v>
      </c>
      <c r="B350" t="s">
        <v>28</v>
      </c>
      <c r="C350">
        <v>57</v>
      </c>
      <c r="D350" t="s">
        <v>29</v>
      </c>
      <c r="E350">
        <v>8.1999999999999993</v>
      </c>
      <c r="F350">
        <v>9</v>
      </c>
      <c r="G350">
        <v>75</v>
      </c>
      <c r="H350">
        <v>3</v>
      </c>
      <c r="I350" t="s">
        <v>15</v>
      </c>
      <c r="J350" t="s">
        <v>54</v>
      </c>
      <c r="K350">
        <v>68</v>
      </c>
      <c r="L350">
        <v>7000</v>
      </c>
      <c r="M350" t="s">
        <v>24</v>
      </c>
    </row>
    <row r="351" spans="1:13">
      <c r="A351">
        <v>350</v>
      </c>
      <c r="B351" t="s">
        <v>28</v>
      </c>
      <c r="C351">
        <v>57</v>
      </c>
      <c r="D351" t="s">
        <v>29</v>
      </c>
      <c r="E351">
        <v>8.1</v>
      </c>
      <c r="F351">
        <v>9</v>
      </c>
      <c r="G351">
        <v>75</v>
      </c>
      <c r="H351">
        <v>3</v>
      </c>
      <c r="I351" t="s">
        <v>15</v>
      </c>
      <c r="J351" t="s">
        <v>54</v>
      </c>
      <c r="K351">
        <v>68</v>
      </c>
      <c r="L351">
        <v>7000</v>
      </c>
      <c r="M351" t="s">
        <v>24</v>
      </c>
    </row>
    <row r="352" spans="1:13">
      <c r="A352">
        <v>351</v>
      </c>
      <c r="B352" t="s">
        <v>28</v>
      </c>
      <c r="C352">
        <v>57</v>
      </c>
      <c r="D352" t="s">
        <v>29</v>
      </c>
      <c r="E352">
        <v>8.1</v>
      </c>
      <c r="F352">
        <v>9</v>
      </c>
      <c r="G352">
        <v>75</v>
      </c>
      <c r="H352">
        <v>3</v>
      </c>
      <c r="I352" t="s">
        <v>15</v>
      </c>
      <c r="J352" t="s">
        <v>54</v>
      </c>
      <c r="K352">
        <v>68</v>
      </c>
      <c r="L352">
        <v>7000</v>
      </c>
      <c r="M352" t="s">
        <v>24</v>
      </c>
    </row>
    <row r="353" spans="1:13">
      <c r="A353">
        <v>352</v>
      </c>
      <c r="B353" t="s">
        <v>28</v>
      </c>
      <c r="C353">
        <v>57</v>
      </c>
      <c r="D353" t="s">
        <v>29</v>
      </c>
      <c r="E353">
        <v>8.1</v>
      </c>
      <c r="F353">
        <v>9</v>
      </c>
      <c r="G353">
        <v>75</v>
      </c>
      <c r="H353">
        <v>3</v>
      </c>
      <c r="I353" t="s">
        <v>15</v>
      </c>
      <c r="J353" t="s">
        <v>54</v>
      </c>
      <c r="K353">
        <v>68</v>
      </c>
      <c r="L353">
        <v>7000</v>
      </c>
      <c r="M353" t="s">
        <v>24</v>
      </c>
    </row>
    <row r="354" spans="1:13">
      <c r="A354">
        <v>353</v>
      </c>
      <c r="B354" t="s">
        <v>28</v>
      </c>
      <c r="C354">
        <v>58</v>
      </c>
      <c r="D354" t="s">
        <v>29</v>
      </c>
      <c r="E354">
        <v>8</v>
      </c>
      <c r="F354">
        <v>9</v>
      </c>
      <c r="G354">
        <v>75</v>
      </c>
      <c r="H354">
        <v>3</v>
      </c>
      <c r="I354" t="s">
        <v>15</v>
      </c>
      <c r="J354" t="s">
        <v>54</v>
      </c>
      <c r="K354">
        <v>68</v>
      </c>
      <c r="L354">
        <v>7000</v>
      </c>
      <c r="M354" t="s">
        <v>24</v>
      </c>
    </row>
    <row r="355" spans="1:13">
      <c r="A355">
        <v>354</v>
      </c>
      <c r="B355" t="s">
        <v>28</v>
      </c>
      <c r="C355">
        <v>58</v>
      </c>
      <c r="D355" t="s">
        <v>29</v>
      </c>
      <c r="E355">
        <v>8</v>
      </c>
      <c r="F355">
        <v>9</v>
      </c>
      <c r="G355">
        <v>75</v>
      </c>
      <c r="H355">
        <v>3</v>
      </c>
      <c r="I355" t="s">
        <v>15</v>
      </c>
      <c r="J355" t="s">
        <v>54</v>
      </c>
      <c r="K355">
        <v>68</v>
      </c>
      <c r="L355">
        <v>7000</v>
      </c>
      <c r="M355" t="s">
        <v>24</v>
      </c>
    </row>
    <row r="356" spans="1:13">
      <c r="A356">
        <v>355</v>
      </c>
      <c r="B356" t="s">
        <v>28</v>
      </c>
      <c r="C356">
        <v>58</v>
      </c>
      <c r="D356" t="s">
        <v>29</v>
      </c>
      <c r="E356">
        <v>8</v>
      </c>
      <c r="F356">
        <v>9</v>
      </c>
      <c r="G356">
        <v>75</v>
      </c>
      <c r="H356">
        <v>3</v>
      </c>
      <c r="I356" t="s">
        <v>15</v>
      </c>
      <c r="J356" t="s">
        <v>54</v>
      </c>
      <c r="K356">
        <v>68</v>
      </c>
      <c r="L356">
        <v>7000</v>
      </c>
      <c r="M356" t="s">
        <v>24</v>
      </c>
    </row>
    <row r="357" spans="1:13">
      <c r="A357">
        <v>356</v>
      </c>
      <c r="B357" t="s">
        <v>28</v>
      </c>
      <c r="C357">
        <v>58</v>
      </c>
      <c r="D357" t="s">
        <v>29</v>
      </c>
      <c r="E357">
        <v>8</v>
      </c>
      <c r="F357">
        <v>9</v>
      </c>
      <c r="G357">
        <v>75</v>
      </c>
      <c r="H357">
        <v>3</v>
      </c>
      <c r="I357" t="s">
        <v>15</v>
      </c>
      <c r="J357" t="s">
        <v>54</v>
      </c>
      <c r="K357">
        <v>68</v>
      </c>
      <c r="L357">
        <v>7000</v>
      </c>
      <c r="M357" t="s">
        <v>24</v>
      </c>
    </row>
    <row r="358" spans="1:13">
      <c r="A358">
        <v>357</v>
      </c>
      <c r="B358" t="s">
        <v>28</v>
      </c>
      <c r="C358">
        <v>58</v>
      </c>
      <c r="D358" t="s">
        <v>29</v>
      </c>
      <c r="E358">
        <v>8</v>
      </c>
      <c r="F358">
        <v>9</v>
      </c>
      <c r="G358">
        <v>75</v>
      </c>
      <c r="H358">
        <v>3</v>
      </c>
      <c r="I358" t="s">
        <v>15</v>
      </c>
      <c r="J358" t="s">
        <v>54</v>
      </c>
      <c r="K358">
        <v>68</v>
      </c>
      <c r="L358">
        <v>7000</v>
      </c>
      <c r="M358" t="s">
        <v>24</v>
      </c>
    </row>
    <row r="359" spans="1:13">
      <c r="A359">
        <v>358</v>
      </c>
      <c r="B359" t="s">
        <v>28</v>
      </c>
      <c r="C359">
        <v>58</v>
      </c>
      <c r="D359" t="s">
        <v>29</v>
      </c>
      <c r="E359">
        <v>8</v>
      </c>
      <c r="F359">
        <v>9</v>
      </c>
      <c r="G359">
        <v>75</v>
      </c>
      <c r="H359">
        <v>3</v>
      </c>
      <c r="I359" t="s">
        <v>15</v>
      </c>
      <c r="J359" t="s">
        <v>54</v>
      </c>
      <c r="K359">
        <v>68</v>
      </c>
      <c r="L359">
        <v>7000</v>
      </c>
      <c r="M359" t="s">
        <v>24</v>
      </c>
    </row>
    <row r="360" spans="1:13">
      <c r="A360">
        <v>359</v>
      </c>
      <c r="B360" t="s">
        <v>28</v>
      </c>
      <c r="C360">
        <v>59</v>
      </c>
      <c r="D360" t="s">
        <v>29</v>
      </c>
      <c r="E360">
        <v>8</v>
      </c>
      <c r="F360">
        <v>9</v>
      </c>
      <c r="G360">
        <v>75</v>
      </c>
      <c r="H360">
        <v>3</v>
      </c>
      <c r="I360" t="s">
        <v>15</v>
      </c>
      <c r="J360" t="s">
        <v>54</v>
      </c>
      <c r="K360">
        <v>68</v>
      </c>
      <c r="L360">
        <v>7000</v>
      </c>
      <c r="M360" t="s">
        <v>17</v>
      </c>
    </row>
    <row r="361" spans="1:13">
      <c r="A361">
        <v>360</v>
      </c>
      <c r="B361" t="s">
        <v>28</v>
      </c>
      <c r="C361">
        <v>59</v>
      </c>
      <c r="D361" t="s">
        <v>29</v>
      </c>
      <c r="E361">
        <v>8.1</v>
      </c>
      <c r="F361">
        <v>9</v>
      </c>
      <c r="G361">
        <v>75</v>
      </c>
      <c r="H361">
        <v>3</v>
      </c>
      <c r="I361" t="s">
        <v>15</v>
      </c>
      <c r="J361" t="s">
        <v>54</v>
      </c>
      <c r="K361">
        <v>68</v>
      </c>
      <c r="L361">
        <v>7000</v>
      </c>
      <c r="M361" t="s">
        <v>17</v>
      </c>
    </row>
    <row r="362" spans="1:13">
      <c r="A362">
        <v>361</v>
      </c>
      <c r="B362" t="s">
        <v>28</v>
      </c>
      <c r="C362">
        <v>59</v>
      </c>
      <c r="D362" t="s">
        <v>29</v>
      </c>
      <c r="E362">
        <v>8.1999999999999993</v>
      </c>
      <c r="F362">
        <v>9</v>
      </c>
      <c r="G362">
        <v>75</v>
      </c>
      <c r="H362">
        <v>3</v>
      </c>
      <c r="I362" t="s">
        <v>15</v>
      </c>
      <c r="J362" t="s">
        <v>54</v>
      </c>
      <c r="K362">
        <v>68</v>
      </c>
      <c r="L362">
        <v>7000</v>
      </c>
      <c r="M362" t="s">
        <v>24</v>
      </c>
    </row>
    <row r="363" spans="1:13">
      <c r="A363">
        <v>362</v>
      </c>
      <c r="B363" t="s">
        <v>28</v>
      </c>
      <c r="C363">
        <v>59</v>
      </c>
      <c r="D363" t="s">
        <v>29</v>
      </c>
      <c r="E363">
        <v>8.1999999999999993</v>
      </c>
      <c r="F363">
        <v>9</v>
      </c>
      <c r="G363">
        <v>75</v>
      </c>
      <c r="H363">
        <v>3</v>
      </c>
      <c r="I363" t="s">
        <v>15</v>
      </c>
      <c r="J363" t="s">
        <v>54</v>
      </c>
      <c r="K363">
        <v>68</v>
      </c>
      <c r="L363">
        <v>7000</v>
      </c>
      <c r="M363" t="s">
        <v>24</v>
      </c>
    </row>
    <row r="364" spans="1:13">
      <c r="A364">
        <v>363</v>
      </c>
      <c r="B364" t="s">
        <v>28</v>
      </c>
      <c r="C364">
        <v>59</v>
      </c>
      <c r="D364" t="s">
        <v>29</v>
      </c>
      <c r="E364">
        <v>8.1999999999999993</v>
      </c>
      <c r="F364">
        <v>9</v>
      </c>
      <c r="G364">
        <v>75</v>
      </c>
      <c r="H364">
        <v>3</v>
      </c>
      <c r="I364" t="s">
        <v>15</v>
      </c>
      <c r="J364" t="s">
        <v>54</v>
      </c>
      <c r="K364">
        <v>68</v>
      </c>
      <c r="L364">
        <v>7000</v>
      </c>
      <c r="M364" t="s">
        <v>24</v>
      </c>
    </row>
    <row r="365" spans="1:13">
      <c r="A365">
        <v>364</v>
      </c>
      <c r="B365" t="s">
        <v>28</v>
      </c>
      <c r="C365">
        <v>59</v>
      </c>
      <c r="D365" t="s">
        <v>29</v>
      </c>
      <c r="E365">
        <v>8.1999999999999993</v>
      </c>
      <c r="F365">
        <v>9</v>
      </c>
      <c r="G365">
        <v>75</v>
      </c>
      <c r="H365">
        <v>3</v>
      </c>
      <c r="I365" t="s">
        <v>15</v>
      </c>
      <c r="J365" t="s">
        <v>54</v>
      </c>
      <c r="K365">
        <v>68</v>
      </c>
      <c r="L365">
        <v>7000</v>
      </c>
      <c r="M365" t="s">
        <v>24</v>
      </c>
    </row>
    <row r="366" spans="1:13">
      <c r="A366">
        <v>365</v>
      </c>
      <c r="B366" t="s">
        <v>28</v>
      </c>
      <c r="C366">
        <v>59</v>
      </c>
      <c r="D366" t="s">
        <v>29</v>
      </c>
      <c r="E366">
        <v>8</v>
      </c>
      <c r="F366">
        <v>9</v>
      </c>
      <c r="G366">
        <v>75</v>
      </c>
      <c r="H366">
        <v>3</v>
      </c>
      <c r="I366" t="s">
        <v>15</v>
      </c>
      <c r="J366" t="s">
        <v>54</v>
      </c>
      <c r="K366">
        <v>68</v>
      </c>
      <c r="L366">
        <v>7000</v>
      </c>
      <c r="M366" t="s">
        <v>24</v>
      </c>
    </row>
    <row r="367" spans="1:13">
      <c r="A367">
        <v>366</v>
      </c>
      <c r="B367" t="s">
        <v>28</v>
      </c>
      <c r="C367">
        <v>59</v>
      </c>
      <c r="D367" t="s">
        <v>29</v>
      </c>
      <c r="E367">
        <v>8</v>
      </c>
      <c r="F367">
        <v>9</v>
      </c>
      <c r="G367">
        <v>75</v>
      </c>
      <c r="H367">
        <v>3</v>
      </c>
      <c r="I367" t="s">
        <v>15</v>
      </c>
      <c r="J367" t="s">
        <v>54</v>
      </c>
      <c r="K367">
        <v>68</v>
      </c>
      <c r="L367">
        <v>7000</v>
      </c>
      <c r="M367" t="s">
        <v>24</v>
      </c>
    </row>
    <row r="368" spans="1:13">
      <c r="A368">
        <v>367</v>
      </c>
      <c r="B368" t="s">
        <v>28</v>
      </c>
      <c r="C368">
        <v>59</v>
      </c>
      <c r="D368" t="s">
        <v>29</v>
      </c>
      <c r="E368">
        <v>8.1</v>
      </c>
      <c r="F368">
        <v>9</v>
      </c>
      <c r="G368">
        <v>75</v>
      </c>
      <c r="H368">
        <v>3</v>
      </c>
      <c r="I368" t="s">
        <v>15</v>
      </c>
      <c r="J368" t="s">
        <v>54</v>
      </c>
      <c r="K368">
        <v>68</v>
      </c>
      <c r="L368">
        <v>7000</v>
      </c>
      <c r="M368" t="s">
        <v>24</v>
      </c>
    </row>
    <row r="369" spans="1:13">
      <c r="A369">
        <v>368</v>
      </c>
      <c r="B369" t="s">
        <v>28</v>
      </c>
      <c r="C369">
        <v>59</v>
      </c>
      <c r="D369" t="s">
        <v>29</v>
      </c>
      <c r="E369">
        <v>8</v>
      </c>
      <c r="F369">
        <v>9</v>
      </c>
      <c r="G369">
        <v>75</v>
      </c>
      <c r="H369">
        <v>3</v>
      </c>
      <c r="I369" t="s">
        <v>15</v>
      </c>
      <c r="J369" t="s">
        <v>54</v>
      </c>
      <c r="K369">
        <v>68</v>
      </c>
      <c r="L369">
        <v>7000</v>
      </c>
      <c r="M369" t="s">
        <v>24</v>
      </c>
    </row>
    <row r="370" spans="1:13">
      <c r="A370">
        <v>369</v>
      </c>
      <c r="B370" t="s">
        <v>28</v>
      </c>
      <c r="C370">
        <v>59</v>
      </c>
      <c r="D370" t="s">
        <v>29</v>
      </c>
      <c r="E370">
        <v>8.1</v>
      </c>
      <c r="F370">
        <v>9</v>
      </c>
      <c r="G370">
        <v>75</v>
      </c>
      <c r="H370">
        <v>3</v>
      </c>
      <c r="I370" t="s">
        <v>15</v>
      </c>
      <c r="J370" t="s">
        <v>54</v>
      </c>
      <c r="K370">
        <v>68</v>
      </c>
      <c r="L370">
        <v>7000</v>
      </c>
      <c r="M370" t="s">
        <v>24</v>
      </c>
    </row>
    <row r="371" spans="1:13">
      <c r="A371">
        <v>370</v>
      </c>
      <c r="B371" t="s">
        <v>28</v>
      </c>
      <c r="C371">
        <v>59</v>
      </c>
      <c r="D371" t="s">
        <v>29</v>
      </c>
      <c r="E371">
        <v>8.1</v>
      </c>
      <c r="F371">
        <v>9</v>
      </c>
      <c r="G371">
        <v>75</v>
      </c>
      <c r="H371">
        <v>3</v>
      </c>
      <c r="I371" t="s">
        <v>15</v>
      </c>
      <c r="J371" t="s">
        <v>54</v>
      </c>
      <c r="K371">
        <v>68</v>
      </c>
      <c r="L371">
        <v>7000</v>
      </c>
      <c r="M371" t="s">
        <v>24</v>
      </c>
    </row>
    <row r="372" spans="1:13">
      <c r="A372">
        <v>371</v>
      </c>
      <c r="B372" t="s">
        <v>28</v>
      </c>
      <c r="C372">
        <v>59</v>
      </c>
      <c r="D372" t="s">
        <v>29</v>
      </c>
      <c r="E372">
        <v>8</v>
      </c>
      <c r="F372">
        <v>9</v>
      </c>
      <c r="G372">
        <v>75</v>
      </c>
      <c r="H372">
        <v>3</v>
      </c>
      <c r="I372" t="s">
        <v>15</v>
      </c>
      <c r="J372" t="s">
        <v>54</v>
      </c>
      <c r="K372">
        <v>68</v>
      </c>
      <c r="L372">
        <v>7000</v>
      </c>
      <c r="M372" t="s">
        <v>24</v>
      </c>
    </row>
    <row r="373" spans="1:13">
      <c r="A373">
        <v>372</v>
      </c>
      <c r="B373" t="s">
        <v>28</v>
      </c>
      <c r="C373">
        <v>59</v>
      </c>
      <c r="D373" t="s">
        <v>29</v>
      </c>
      <c r="E373">
        <v>8.1</v>
      </c>
      <c r="F373">
        <v>9</v>
      </c>
      <c r="G373">
        <v>75</v>
      </c>
      <c r="H373">
        <v>3</v>
      </c>
      <c r="I373" t="s">
        <v>15</v>
      </c>
      <c r="J373" t="s">
        <v>54</v>
      </c>
      <c r="K373">
        <v>68</v>
      </c>
      <c r="L373">
        <v>7000</v>
      </c>
      <c r="M373" t="s">
        <v>24</v>
      </c>
    </row>
    <row r="374" spans="1:13">
      <c r="A374">
        <v>373</v>
      </c>
      <c r="B374" t="s">
        <v>28</v>
      </c>
      <c r="C374">
        <v>59</v>
      </c>
      <c r="D374" t="s">
        <v>29</v>
      </c>
      <c r="E374">
        <v>8.1</v>
      </c>
      <c r="F374">
        <v>9</v>
      </c>
      <c r="G374">
        <v>75</v>
      </c>
      <c r="H374">
        <v>3</v>
      </c>
      <c r="I374" t="s">
        <v>15</v>
      </c>
      <c r="J374" t="s">
        <v>54</v>
      </c>
      <c r="K374">
        <v>68</v>
      </c>
      <c r="L374">
        <v>7000</v>
      </c>
      <c r="M374" t="s">
        <v>24</v>
      </c>
    </row>
    <row r="375" spans="1:13">
      <c r="A375">
        <v>374</v>
      </c>
      <c r="B375" t="s">
        <v>28</v>
      </c>
      <c r="C375">
        <v>59</v>
      </c>
      <c r="D375" t="s">
        <v>29</v>
      </c>
      <c r="E375">
        <v>8.1</v>
      </c>
      <c r="F375">
        <v>9</v>
      </c>
      <c r="G375">
        <v>75</v>
      </c>
      <c r="H375">
        <v>3</v>
      </c>
      <c r="I375" t="s">
        <v>15</v>
      </c>
      <c r="J375" t="s">
        <v>54</v>
      </c>
      <c r="K375">
        <v>68</v>
      </c>
      <c r="L375">
        <v>7000</v>
      </c>
      <c r="M375" t="s">
        <v>24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5CEF2-C70A-4445-BE08-854384F7F7B5}">
  <dimension ref="A3:H433"/>
  <sheetViews>
    <sheetView topLeftCell="A58" workbookViewId="0">
      <selection activeCell="A59" sqref="A59:C433"/>
    </sheetView>
  </sheetViews>
  <sheetFormatPr defaultRowHeight="15"/>
  <cols>
    <col min="1" max="1" width="18.5" bestFit="1" customWidth="1"/>
    <col min="2" max="2" width="13.625" bestFit="1" customWidth="1"/>
    <col min="3" max="7" width="2.125" bestFit="1" customWidth="1"/>
    <col min="8" max="8" width="13.375" bestFit="1" customWidth="1"/>
    <col min="9" max="12" width="2.75" bestFit="1" customWidth="1"/>
    <col min="13" max="13" width="25.125" bestFit="1" customWidth="1"/>
    <col min="14" max="14" width="25.25" bestFit="1" customWidth="1"/>
    <col min="15" max="16" width="13.375" bestFit="1" customWidth="1"/>
    <col min="17" max="19" width="4.375" bestFit="1" customWidth="1"/>
    <col min="20" max="20" width="13.375" bestFit="1" customWidth="1"/>
    <col min="21" max="21" width="5.5" bestFit="1" customWidth="1"/>
    <col min="22" max="22" width="13.375" bestFit="1" customWidth="1"/>
    <col min="23" max="23" width="2.125" bestFit="1" customWidth="1"/>
    <col min="24" max="24" width="13.375" bestFit="1" customWidth="1"/>
    <col min="25" max="28" width="4.375" bestFit="1" customWidth="1"/>
    <col min="29" max="29" width="13.375" bestFit="1" customWidth="1"/>
    <col min="30" max="30" width="5.625" bestFit="1" customWidth="1"/>
    <col min="31" max="32" width="2.125" bestFit="1" customWidth="1"/>
    <col min="33" max="33" width="8.125" bestFit="1" customWidth="1"/>
    <col min="34" max="34" width="5.625" bestFit="1" customWidth="1"/>
    <col min="35" max="36" width="2.125" bestFit="1" customWidth="1"/>
    <col min="37" max="37" width="8.125" bestFit="1" customWidth="1"/>
    <col min="38" max="38" width="5.625" bestFit="1" customWidth="1"/>
    <col min="39" max="39" width="3.25" bestFit="1" customWidth="1"/>
    <col min="40" max="40" width="2.125" bestFit="1" customWidth="1"/>
    <col min="41" max="41" width="8.125" bestFit="1" customWidth="1"/>
    <col min="42" max="42" width="5.625" bestFit="1" customWidth="1"/>
    <col min="43" max="44" width="2.125" bestFit="1" customWidth="1"/>
    <col min="45" max="45" width="8.125" bestFit="1" customWidth="1"/>
    <col min="46" max="46" width="5.625" bestFit="1" customWidth="1"/>
    <col min="47" max="47" width="8.125" bestFit="1" customWidth="1"/>
    <col min="48" max="48" width="5.625" bestFit="1" customWidth="1"/>
    <col min="49" max="50" width="2.125" bestFit="1" customWidth="1"/>
    <col min="51" max="51" width="8.125" bestFit="1" customWidth="1"/>
    <col min="52" max="52" width="5.625" bestFit="1" customWidth="1"/>
    <col min="53" max="54" width="2.125" bestFit="1" customWidth="1"/>
    <col min="55" max="55" width="8.125" bestFit="1" customWidth="1"/>
    <col min="56" max="56" width="5.625" bestFit="1" customWidth="1"/>
    <col min="57" max="57" width="3.25" bestFit="1" customWidth="1"/>
    <col min="58" max="58" width="8.125" bestFit="1" customWidth="1"/>
    <col min="59" max="59" width="5.625" bestFit="1" customWidth="1"/>
    <col min="60" max="60" width="3.25" bestFit="1" customWidth="1"/>
    <col min="61" max="61" width="2.125" bestFit="1" customWidth="1"/>
    <col min="62" max="62" width="8.125" bestFit="1" customWidth="1"/>
    <col min="63" max="63" width="5.625" bestFit="1" customWidth="1"/>
    <col min="64" max="65" width="2.125" bestFit="1" customWidth="1"/>
    <col min="66" max="66" width="8.125" bestFit="1" customWidth="1"/>
    <col min="67" max="67" width="4.125" bestFit="1" customWidth="1"/>
    <col min="68" max="68" width="6.625" bestFit="1" customWidth="1"/>
    <col min="69" max="69" width="5.625" bestFit="1" customWidth="1"/>
    <col min="70" max="70" width="2.125" bestFit="1" customWidth="1"/>
    <col min="71" max="71" width="8.125" bestFit="1" customWidth="1"/>
    <col min="72" max="72" width="5.625" bestFit="1" customWidth="1"/>
    <col min="73" max="73" width="8.125" bestFit="1" customWidth="1"/>
    <col min="74" max="74" width="5.625" bestFit="1" customWidth="1"/>
    <col min="75" max="75" width="8.125" bestFit="1" customWidth="1"/>
    <col min="76" max="76" width="5.625" bestFit="1" customWidth="1"/>
    <col min="77" max="77" width="8.125" bestFit="1" customWidth="1"/>
    <col min="78" max="78" width="5.625" bestFit="1" customWidth="1"/>
    <col min="79" max="79" width="8.125" bestFit="1" customWidth="1"/>
    <col min="80" max="80" width="5.125" bestFit="1" customWidth="1"/>
  </cols>
  <sheetData>
    <row r="3" spans="1:8">
      <c r="A3" s="14" t="s">
        <v>57</v>
      </c>
      <c r="B3" s="14" t="s">
        <v>7</v>
      </c>
    </row>
    <row r="4" spans="1:8">
      <c r="A4" s="14" t="s">
        <v>8</v>
      </c>
      <c r="B4">
        <v>3</v>
      </c>
      <c r="C4">
        <v>4</v>
      </c>
      <c r="D4">
        <v>5</v>
      </c>
      <c r="E4">
        <v>6</v>
      </c>
      <c r="F4">
        <v>7</v>
      </c>
      <c r="G4">
        <v>8</v>
      </c>
      <c r="H4" t="s">
        <v>58</v>
      </c>
    </row>
    <row r="5" spans="1:8">
      <c r="A5" t="s">
        <v>19</v>
      </c>
      <c r="B5" s="13">
        <v>3</v>
      </c>
      <c r="C5" s="13">
        <v>4</v>
      </c>
      <c r="D5" s="13">
        <v>5</v>
      </c>
      <c r="E5" s="13">
        <v>6</v>
      </c>
      <c r="F5" s="13">
        <v>7</v>
      </c>
      <c r="G5" s="13">
        <v>8</v>
      </c>
      <c r="H5" s="13">
        <v>5.1342592592592595</v>
      </c>
    </row>
    <row r="6" spans="1:8">
      <c r="A6" t="s">
        <v>22</v>
      </c>
      <c r="B6" s="13">
        <v>3</v>
      </c>
      <c r="C6" s="13"/>
      <c r="D6" s="13">
        <v>5</v>
      </c>
      <c r="E6" s="13"/>
      <c r="F6" s="13">
        <v>7</v>
      </c>
      <c r="G6" s="13">
        <v>8</v>
      </c>
      <c r="H6" s="13">
        <v>5.7</v>
      </c>
    </row>
    <row r="7" spans="1:8">
      <c r="A7" t="s">
        <v>15</v>
      </c>
      <c r="B7" s="13">
        <v>3</v>
      </c>
      <c r="C7" s="13">
        <v>4</v>
      </c>
      <c r="D7" s="13">
        <v>5</v>
      </c>
      <c r="E7" s="13">
        <v>6</v>
      </c>
      <c r="F7" s="13">
        <v>7</v>
      </c>
      <c r="G7" s="13">
        <v>8</v>
      </c>
      <c r="H7" s="13">
        <v>5.7297297297297298</v>
      </c>
    </row>
    <row r="8" spans="1:8">
      <c r="A8" t="s">
        <v>58</v>
      </c>
      <c r="B8" s="13">
        <v>3</v>
      </c>
      <c r="C8" s="13">
        <v>4</v>
      </c>
      <c r="D8" s="13">
        <v>5</v>
      </c>
      <c r="E8" s="13">
        <v>6</v>
      </c>
      <c r="F8" s="13">
        <v>7</v>
      </c>
      <c r="G8" s="13">
        <v>8</v>
      </c>
      <c r="H8" s="13">
        <v>5.3850267379679142</v>
      </c>
    </row>
    <row r="59" spans="1:3" ht="15.75">
      <c r="A59" s="1"/>
      <c r="B59" s="1"/>
      <c r="C59" s="1"/>
    </row>
    <row r="60" spans="1:3" ht="15.75">
      <c r="A60" s="1"/>
      <c r="B60" s="1"/>
      <c r="C60" s="1"/>
    </row>
    <row r="61" spans="1:3" ht="15.75">
      <c r="A61" s="1"/>
      <c r="B61" s="1"/>
      <c r="C61" s="1"/>
    </row>
    <row r="62" spans="1:3" ht="15.75">
      <c r="A62" s="1"/>
      <c r="B62" s="1"/>
      <c r="C62" s="1"/>
    </row>
    <row r="63" spans="1:3" ht="15.75">
      <c r="A63" s="1"/>
      <c r="B63" s="1"/>
      <c r="C63" s="1"/>
    </row>
    <row r="64" spans="1:3" ht="15.75">
      <c r="A64" s="1"/>
      <c r="B64" s="1"/>
      <c r="C64" s="1"/>
    </row>
    <row r="65" spans="1:3" ht="15.75">
      <c r="A65" s="1"/>
      <c r="B65" s="1"/>
      <c r="C65" s="1"/>
    </row>
    <row r="66" spans="1:3" ht="15.75">
      <c r="A66" s="1"/>
      <c r="B66" s="1"/>
      <c r="C66" s="1"/>
    </row>
    <row r="67" spans="1:3" ht="15.75">
      <c r="A67" s="1"/>
      <c r="B67" s="1"/>
      <c r="C67" s="1"/>
    </row>
    <row r="68" spans="1:3" ht="15.75">
      <c r="A68" s="1"/>
      <c r="B68" s="1"/>
      <c r="C68" s="1"/>
    </row>
    <row r="69" spans="1:3" ht="15.75">
      <c r="A69" s="1"/>
      <c r="B69" s="1"/>
      <c r="C69" s="1"/>
    </row>
    <row r="70" spans="1:3" ht="15.75">
      <c r="A70" s="1"/>
      <c r="B70" s="1"/>
      <c r="C70" s="1"/>
    </row>
    <row r="71" spans="1:3" ht="15.75">
      <c r="A71" s="1"/>
      <c r="B71" s="1"/>
      <c r="C71" s="1"/>
    </row>
    <row r="72" spans="1:3" ht="15.75">
      <c r="A72" s="1"/>
      <c r="B72" s="1"/>
      <c r="C72" s="1"/>
    </row>
    <row r="73" spans="1:3" ht="15.75">
      <c r="A73" s="1"/>
      <c r="B73" s="1"/>
      <c r="C73" s="1"/>
    </row>
    <row r="74" spans="1:3" ht="15.75">
      <c r="A74" s="1"/>
      <c r="B74" s="1"/>
      <c r="C74" s="1"/>
    </row>
    <row r="75" spans="1:3" ht="15.75">
      <c r="A75" s="1"/>
      <c r="B75" s="1"/>
      <c r="C75" s="1"/>
    </row>
    <row r="76" spans="1:3" ht="15.75">
      <c r="A76" s="1"/>
      <c r="B76" s="1"/>
      <c r="C76" s="1"/>
    </row>
    <row r="77" spans="1:3" ht="15.75">
      <c r="A77" s="1"/>
      <c r="B77" s="1"/>
      <c r="C77" s="1"/>
    </row>
    <row r="78" spans="1:3" ht="15.75">
      <c r="A78" s="1"/>
      <c r="B78" s="1"/>
      <c r="C78" s="1"/>
    </row>
    <row r="79" spans="1:3" ht="15.75">
      <c r="A79" s="1"/>
      <c r="B79" s="1"/>
      <c r="C79" s="1"/>
    </row>
    <row r="80" spans="1:3" ht="15.75">
      <c r="A80" s="1"/>
      <c r="B80" s="1"/>
      <c r="C80" s="1"/>
    </row>
    <row r="81" spans="1:3" ht="15.75">
      <c r="A81" s="1"/>
      <c r="B81" s="1"/>
      <c r="C81" s="1"/>
    </row>
    <row r="82" spans="1:3" ht="15.75">
      <c r="A82" s="1"/>
      <c r="B82" s="1"/>
      <c r="C82" s="1"/>
    </row>
    <row r="83" spans="1:3" ht="15.75">
      <c r="A83" s="1"/>
      <c r="B83" s="1"/>
      <c r="C83" s="1"/>
    </row>
    <row r="84" spans="1:3" ht="15.75">
      <c r="A84" s="1"/>
      <c r="B84" s="1"/>
      <c r="C84" s="1"/>
    </row>
    <row r="85" spans="1:3" ht="15.75">
      <c r="A85" s="1"/>
      <c r="B85" s="1"/>
      <c r="C85" s="1"/>
    </row>
    <row r="86" spans="1:3" ht="15.75">
      <c r="A86" s="1"/>
      <c r="B86" s="1"/>
      <c r="C86" s="1"/>
    </row>
    <row r="87" spans="1:3" ht="15.75">
      <c r="A87" s="1"/>
      <c r="B87" s="1"/>
      <c r="C87" s="1"/>
    </row>
    <row r="88" spans="1:3" ht="15.75">
      <c r="A88" s="1"/>
      <c r="B88" s="1"/>
      <c r="C88" s="1"/>
    </row>
    <row r="89" spans="1:3" ht="15.75">
      <c r="A89" s="1"/>
      <c r="B89" s="1"/>
      <c r="C89" s="1"/>
    </row>
    <row r="90" spans="1:3" ht="15.75">
      <c r="A90" s="1"/>
      <c r="B90" s="1"/>
      <c r="C90" s="1"/>
    </row>
    <row r="91" spans="1:3" ht="15.75">
      <c r="A91" s="1"/>
      <c r="B91" s="1"/>
      <c r="C91" s="1"/>
    </row>
    <row r="92" spans="1:3" ht="15.75">
      <c r="A92" s="1"/>
      <c r="B92" s="1"/>
      <c r="C92" s="1"/>
    </row>
    <row r="93" spans="1:3" ht="15.75">
      <c r="A93" s="1"/>
      <c r="B93" s="1"/>
      <c r="C93" s="1"/>
    </row>
    <row r="94" spans="1:3" ht="15.75">
      <c r="A94" s="1"/>
      <c r="B94" s="1"/>
      <c r="C94" s="1"/>
    </row>
    <row r="95" spans="1:3" ht="15.75">
      <c r="A95" s="1"/>
      <c r="B95" s="1"/>
      <c r="C95" s="1"/>
    </row>
    <row r="96" spans="1:3" ht="15.75">
      <c r="A96" s="1"/>
      <c r="B96" s="1"/>
      <c r="C96" s="1"/>
    </row>
    <row r="97" spans="1:3" ht="15.75">
      <c r="A97" s="1"/>
      <c r="B97" s="1"/>
      <c r="C97" s="1"/>
    </row>
    <row r="98" spans="1:3" ht="15.75">
      <c r="A98" s="1"/>
      <c r="B98" s="1"/>
      <c r="C98" s="1"/>
    </row>
    <row r="99" spans="1:3" ht="15.75">
      <c r="A99" s="1"/>
      <c r="B99" s="1"/>
      <c r="C99" s="1"/>
    </row>
    <row r="100" spans="1:3" ht="15.75">
      <c r="A100" s="1"/>
      <c r="B100" s="1"/>
      <c r="C100" s="1"/>
    </row>
    <row r="101" spans="1:3" ht="15.75">
      <c r="A101" s="1"/>
      <c r="B101" s="1"/>
      <c r="C101" s="1"/>
    </row>
    <row r="102" spans="1:3" ht="15.75">
      <c r="A102" s="1"/>
      <c r="B102" s="1"/>
      <c r="C102" s="1"/>
    </row>
    <row r="103" spans="1:3" ht="15.75">
      <c r="A103" s="1"/>
      <c r="B103" s="1"/>
      <c r="C103" s="1"/>
    </row>
    <row r="104" spans="1:3" ht="15.75">
      <c r="A104" s="1"/>
      <c r="B104" s="1"/>
      <c r="C104" s="1"/>
    </row>
    <row r="105" spans="1:3" ht="15.75">
      <c r="A105" s="1"/>
      <c r="B105" s="1"/>
      <c r="C105" s="1"/>
    </row>
    <row r="106" spans="1:3" ht="15.75">
      <c r="A106" s="1"/>
      <c r="B106" s="1"/>
      <c r="C106" s="1"/>
    </row>
    <row r="107" spans="1:3" ht="15.75">
      <c r="A107" s="1"/>
      <c r="B107" s="1"/>
      <c r="C107" s="1"/>
    </row>
    <row r="108" spans="1:3" ht="15.75">
      <c r="A108" s="1"/>
      <c r="B108" s="1"/>
      <c r="C108" s="1"/>
    </row>
    <row r="109" spans="1:3" ht="15.75">
      <c r="A109" s="1"/>
      <c r="B109" s="1"/>
      <c r="C109" s="1"/>
    </row>
    <row r="110" spans="1:3" ht="15.75">
      <c r="A110" s="1"/>
      <c r="B110" s="1"/>
      <c r="C110" s="1"/>
    </row>
    <row r="111" spans="1:3" ht="15.75">
      <c r="A111" s="1"/>
      <c r="B111" s="1"/>
      <c r="C111" s="1"/>
    </row>
    <row r="112" spans="1:3" ht="15.75">
      <c r="A112" s="1"/>
      <c r="B112" s="1"/>
      <c r="C112" s="1"/>
    </row>
    <row r="113" spans="1:3" ht="15.75">
      <c r="A113" s="1"/>
      <c r="B113" s="1"/>
      <c r="C113" s="1"/>
    </row>
    <row r="114" spans="1:3" ht="15.75">
      <c r="A114" s="1"/>
      <c r="B114" s="1"/>
      <c r="C114" s="1"/>
    </row>
    <row r="115" spans="1:3" ht="15.75">
      <c r="A115" s="1"/>
      <c r="B115" s="1"/>
      <c r="C115" s="1"/>
    </row>
    <row r="116" spans="1:3" ht="15.75">
      <c r="A116" s="1"/>
      <c r="B116" s="1"/>
      <c r="C116" s="1"/>
    </row>
    <row r="117" spans="1:3" ht="15.75">
      <c r="A117" s="1"/>
      <c r="B117" s="1"/>
      <c r="C117" s="1"/>
    </row>
    <row r="118" spans="1:3" ht="15.75">
      <c r="A118" s="1"/>
      <c r="B118" s="1"/>
      <c r="C118" s="1"/>
    </row>
    <row r="119" spans="1:3" ht="15.75">
      <c r="A119" s="1"/>
      <c r="B119" s="1"/>
      <c r="C119" s="1"/>
    </row>
    <row r="120" spans="1:3" ht="15.75">
      <c r="A120" s="1"/>
      <c r="B120" s="1"/>
      <c r="C120" s="1"/>
    </row>
    <row r="121" spans="1:3" ht="15.75">
      <c r="A121" s="1"/>
      <c r="B121" s="1"/>
      <c r="C121" s="1"/>
    </row>
    <row r="122" spans="1:3" ht="15.75">
      <c r="A122" s="1"/>
      <c r="B122" s="1"/>
      <c r="C122" s="1"/>
    </row>
    <row r="123" spans="1:3" ht="15.75">
      <c r="A123" s="1"/>
      <c r="B123" s="1"/>
      <c r="C123" s="1"/>
    </row>
    <row r="124" spans="1:3" ht="15.75">
      <c r="A124" s="1"/>
      <c r="B124" s="1"/>
      <c r="C124" s="1"/>
    </row>
    <row r="125" spans="1:3" ht="15.75">
      <c r="A125" s="1"/>
      <c r="B125" s="1"/>
      <c r="C125" s="1"/>
    </row>
    <row r="126" spans="1:3" ht="15.75">
      <c r="A126" s="1"/>
      <c r="B126" s="1"/>
      <c r="C126" s="1"/>
    </row>
    <row r="127" spans="1:3" ht="15.75">
      <c r="A127" s="1"/>
      <c r="B127" s="1"/>
      <c r="C127" s="1"/>
    </row>
    <row r="128" spans="1:3" ht="15.75">
      <c r="A128" s="1"/>
      <c r="B128" s="1"/>
      <c r="C128" s="1"/>
    </row>
    <row r="129" spans="1:3" ht="15.75">
      <c r="A129" s="1"/>
      <c r="B129" s="1"/>
      <c r="C129" s="1"/>
    </row>
    <row r="130" spans="1:3" ht="15.75">
      <c r="A130" s="1"/>
      <c r="B130" s="1"/>
      <c r="C130" s="1"/>
    </row>
    <row r="131" spans="1:3" ht="15.75">
      <c r="A131" s="1"/>
      <c r="B131" s="1"/>
      <c r="C131" s="1"/>
    </row>
    <row r="132" spans="1:3" ht="15.75">
      <c r="A132" s="1"/>
      <c r="B132" s="1"/>
      <c r="C132" s="1"/>
    </row>
    <row r="133" spans="1:3" ht="15.75">
      <c r="A133" s="1"/>
      <c r="B133" s="1"/>
      <c r="C133" s="1"/>
    </row>
    <row r="134" spans="1:3" ht="15.75">
      <c r="A134" s="1"/>
      <c r="B134" s="1"/>
      <c r="C134" s="1"/>
    </row>
    <row r="135" spans="1:3" ht="15.75">
      <c r="A135" s="1"/>
      <c r="B135" s="1"/>
      <c r="C135" s="1"/>
    </row>
    <row r="136" spans="1:3" ht="15.75">
      <c r="A136" s="1"/>
      <c r="B136" s="1"/>
      <c r="C136" s="1"/>
    </row>
    <row r="137" spans="1:3" ht="15.75">
      <c r="A137" s="1"/>
      <c r="B137" s="1"/>
      <c r="C137" s="1"/>
    </row>
    <row r="138" spans="1:3" ht="15.75">
      <c r="A138" s="1"/>
      <c r="B138" s="1"/>
      <c r="C138" s="1"/>
    </row>
    <row r="139" spans="1:3" ht="15.75">
      <c r="A139" s="1"/>
      <c r="B139" s="1"/>
      <c r="C139" s="1"/>
    </row>
    <row r="140" spans="1:3" ht="15.75">
      <c r="A140" s="1"/>
      <c r="B140" s="1"/>
      <c r="C140" s="1"/>
    </row>
    <row r="141" spans="1:3" ht="15.75">
      <c r="A141" s="1"/>
      <c r="B141" s="1"/>
      <c r="C141" s="1"/>
    </row>
    <row r="142" spans="1:3" ht="15.75">
      <c r="A142" s="1"/>
      <c r="B142" s="1"/>
      <c r="C142" s="1"/>
    </row>
    <row r="143" spans="1:3" ht="15.75">
      <c r="A143" s="1"/>
      <c r="B143" s="1"/>
      <c r="C143" s="1"/>
    </row>
    <row r="144" spans="1:3" ht="15.75">
      <c r="A144" s="1"/>
      <c r="B144" s="1"/>
      <c r="C144" s="1"/>
    </row>
    <row r="145" spans="1:3" ht="15.75">
      <c r="A145" s="1"/>
      <c r="B145" s="1"/>
      <c r="C145" s="1"/>
    </row>
    <row r="146" spans="1:3" ht="15.75">
      <c r="A146" s="1"/>
      <c r="B146" s="1"/>
      <c r="C146" s="1"/>
    </row>
    <row r="147" spans="1:3" ht="15.75">
      <c r="A147" s="1"/>
      <c r="B147" s="1"/>
      <c r="C147" s="1"/>
    </row>
    <row r="148" spans="1:3" ht="15.75">
      <c r="A148" s="1"/>
      <c r="B148" s="1"/>
      <c r="C148" s="1"/>
    </row>
    <row r="149" spans="1:3" ht="15.75">
      <c r="A149" s="1"/>
      <c r="B149" s="1"/>
      <c r="C149" s="1"/>
    </row>
    <row r="150" spans="1:3" ht="15.75">
      <c r="A150" s="1"/>
      <c r="B150" s="1"/>
      <c r="C150" s="1"/>
    </row>
    <row r="151" spans="1:3" ht="15.75">
      <c r="A151" s="1"/>
      <c r="B151" s="1"/>
      <c r="C151" s="1"/>
    </row>
    <row r="152" spans="1:3" ht="15.75">
      <c r="A152" s="1"/>
      <c r="B152" s="1"/>
      <c r="C152" s="1"/>
    </row>
    <row r="153" spans="1:3" ht="15.75">
      <c r="A153" s="1"/>
      <c r="B153" s="1"/>
      <c r="C153" s="1"/>
    </row>
    <row r="154" spans="1:3" ht="15.75">
      <c r="A154" s="1"/>
      <c r="B154" s="1"/>
      <c r="C154" s="1"/>
    </row>
    <row r="155" spans="1:3" ht="15.75">
      <c r="A155" s="1"/>
      <c r="B155" s="1"/>
      <c r="C155" s="1"/>
    </row>
    <row r="156" spans="1:3" ht="15.75">
      <c r="A156" s="1"/>
      <c r="B156" s="1"/>
      <c r="C156" s="1"/>
    </row>
    <row r="157" spans="1:3" ht="15.75">
      <c r="A157" s="1"/>
      <c r="B157" s="1"/>
      <c r="C157" s="1"/>
    </row>
    <row r="158" spans="1:3" ht="15.75">
      <c r="A158" s="1"/>
      <c r="B158" s="1"/>
      <c r="C158" s="1"/>
    </row>
    <row r="159" spans="1:3" ht="15.75">
      <c r="A159" s="1"/>
      <c r="B159" s="1"/>
      <c r="C159" s="1"/>
    </row>
    <row r="160" spans="1:3" ht="15.75">
      <c r="A160" s="1"/>
      <c r="B160" s="1"/>
      <c r="C160" s="1"/>
    </row>
    <row r="161" spans="1:3" ht="15.75">
      <c r="A161" s="1"/>
      <c r="B161" s="1"/>
      <c r="C161" s="1"/>
    </row>
    <row r="162" spans="1:3" ht="15.75">
      <c r="A162" s="1"/>
      <c r="B162" s="1"/>
      <c r="C162" s="1"/>
    </row>
    <row r="163" spans="1:3" ht="15.75">
      <c r="A163" s="1"/>
      <c r="B163" s="1"/>
      <c r="C163" s="1"/>
    </row>
    <row r="164" spans="1:3" ht="15.75">
      <c r="A164" s="1"/>
      <c r="B164" s="1"/>
      <c r="C164" s="1"/>
    </row>
    <row r="165" spans="1:3" ht="15.75">
      <c r="A165" s="1"/>
      <c r="B165" s="1"/>
      <c r="C165" s="1"/>
    </row>
    <row r="166" spans="1:3" ht="15.75">
      <c r="A166" s="1"/>
      <c r="B166" s="1"/>
      <c r="C166" s="1"/>
    </row>
    <row r="167" spans="1:3" ht="15.75">
      <c r="A167" s="1"/>
      <c r="B167" s="1"/>
      <c r="C167" s="1"/>
    </row>
    <row r="168" spans="1:3" ht="15.75">
      <c r="A168" s="1"/>
      <c r="B168" s="1"/>
      <c r="C168" s="1"/>
    </row>
    <row r="169" spans="1:3" ht="15.75">
      <c r="A169" s="1"/>
      <c r="B169" s="1"/>
      <c r="C169" s="1"/>
    </row>
    <row r="170" spans="1:3" ht="15.75">
      <c r="A170" s="1"/>
      <c r="B170" s="1"/>
      <c r="C170" s="1"/>
    </row>
    <row r="171" spans="1:3" ht="15.75">
      <c r="A171" s="1"/>
      <c r="B171" s="1"/>
      <c r="C171" s="1"/>
    </row>
    <row r="172" spans="1:3" ht="15.75">
      <c r="A172" s="1"/>
      <c r="B172" s="1"/>
      <c r="C172" s="1"/>
    </row>
    <row r="173" spans="1:3" ht="15.75">
      <c r="A173" s="1"/>
      <c r="B173" s="1"/>
      <c r="C173" s="1"/>
    </row>
    <row r="174" spans="1:3" ht="15.75">
      <c r="A174" s="1"/>
      <c r="B174" s="1"/>
      <c r="C174" s="1"/>
    </row>
    <row r="175" spans="1:3" ht="15.75">
      <c r="A175" s="1"/>
      <c r="B175" s="1"/>
      <c r="C175" s="1"/>
    </row>
    <row r="176" spans="1:3" ht="15.75">
      <c r="A176" s="1"/>
      <c r="B176" s="1"/>
      <c r="C176" s="1"/>
    </row>
    <row r="177" spans="1:3" ht="15.75">
      <c r="A177" s="1"/>
      <c r="B177" s="1"/>
      <c r="C177" s="1"/>
    </row>
    <row r="178" spans="1:3" ht="15.75">
      <c r="A178" s="1"/>
      <c r="B178" s="1"/>
      <c r="C178" s="1"/>
    </row>
    <row r="179" spans="1:3" ht="15.75">
      <c r="A179" s="1"/>
      <c r="B179" s="1"/>
      <c r="C179" s="1"/>
    </row>
    <row r="180" spans="1:3" ht="15.75">
      <c r="A180" s="1"/>
      <c r="B180" s="1"/>
      <c r="C180" s="1"/>
    </row>
    <row r="181" spans="1:3" ht="15.75">
      <c r="A181" s="1"/>
      <c r="B181" s="1"/>
      <c r="C181" s="1"/>
    </row>
    <row r="182" spans="1:3" ht="15.75">
      <c r="A182" s="1"/>
      <c r="B182" s="1"/>
      <c r="C182" s="1"/>
    </row>
    <row r="183" spans="1:3" ht="15.75">
      <c r="A183" s="1"/>
      <c r="B183" s="1"/>
      <c r="C183" s="1"/>
    </row>
    <row r="184" spans="1:3" ht="15.75">
      <c r="A184" s="1"/>
      <c r="B184" s="1"/>
      <c r="C184" s="1"/>
    </row>
    <row r="185" spans="1:3" ht="15.75">
      <c r="A185" s="1"/>
      <c r="B185" s="1"/>
      <c r="C185" s="1"/>
    </row>
    <row r="186" spans="1:3" ht="15.75">
      <c r="A186" s="1"/>
      <c r="B186" s="1"/>
      <c r="C186" s="1"/>
    </row>
    <row r="187" spans="1:3" ht="15.75">
      <c r="A187" s="1"/>
      <c r="B187" s="1"/>
      <c r="C187" s="1"/>
    </row>
    <row r="188" spans="1:3" ht="15.75">
      <c r="A188" s="1"/>
      <c r="B188" s="1"/>
      <c r="C188" s="1"/>
    </row>
    <row r="189" spans="1:3" ht="15.75">
      <c r="A189" s="1"/>
      <c r="B189" s="1"/>
      <c r="C189" s="1"/>
    </row>
    <row r="190" spans="1:3" ht="15.75">
      <c r="A190" s="1"/>
      <c r="B190" s="1"/>
      <c r="C190" s="1"/>
    </row>
    <row r="191" spans="1:3" ht="15.75">
      <c r="A191" s="1"/>
      <c r="B191" s="1"/>
      <c r="C191" s="1"/>
    </row>
    <row r="192" spans="1:3" ht="15.75">
      <c r="A192" s="1"/>
      <c r="B192" s="1"/>
      <c r="C192" s="1"/>
    </row>
    <row r="193" spans="1:3" ht="15.75">
      <c r="A193" s="1"/>
      <c r="B193" s="1"/>
      <c r="C193" s="1"/>
    </row>
    <row r="194" spans="1:3" ht="15.75">
      <c r="A194" s="1"/>
      <c r="B194" s="1"/>
      <c r="C194" s="1"/>
    </row>
    <row r="195" spans="1:3" ht="15.75">
      <c r="A195" s="1"/>
      <c r="B195" s="1"/>
      <c r="C195" s="1"/>
    </row>
    <row r="196" spans="1:3" ht="15.75">
      <c r="A196" s="1"/>
      <c r="B196" s="1"/>
      <c r="C196" s="1"/>
    </row>
    <row r="197" spans="1:3" ht="15.75">
      <c r="A197" s="1"/>
      <c r="B197" s="1"/>
      <c r="C197" s="1"/>
    </row>
    <row r="198" spans="1:3" ht="15.75">
      <c r="A198" s="1"/>
      <c r="B198" s="1"/>
      <c r="C198" s="1"/>
    </row>
    <row r="199" spans="1:3" ht="15.75">
      <c r="A199" s="1"/>
      <c r="B199" s="1"/>
      <c r="C199" s="1"/>
    </row>
    <row r="200" spans="1:3" ht="15.75">
      <c r="A200" s="1"/>
      <c r="B200" s="1"/>
      <c r="C200" s="1"/>
    </row>
    <row r="201" spans="1:3" ht="15.75">
      <c r="A201" s="1"/>
      <c r="B201" s="1"/>
      <c r="C201" s="1"/>
    </row>
    <row r="202" spans="1:3" ht="15.75">
      <c r="A202" s="1"/>
      <c r="B202" s="1"/>
      <c r="C202" s="1"/>
    </row>
    <row r="203" spans="1:3" ht="15.75">
      <c r="A203" s="1"/>
      <c r="B203" s="1"/>
      <c r="C203" s="1"/>
    </row>
    <row r="204" spans="1:3" ht="15.75">
      <c r="A204" s="1"/>
      <c r="B204" s="1"/>
      <c r="C204" s="1"/>
    </row>
    <row r="205" spans="1:3" ht="15.75">
      <c r="A205" s="1"/>
      <c r="B205" s="1"/>
      <c r="C205" s="1"/>
    </row>
    <row r="206" spans="1:3" ht="15.75">
      <c r="A206" s="1"/>
      <c r="B206" s="1"/>
      <c r="C206" s="1"/>
    </row>
    <row r="207" spans="1:3" ht="15.75">
      <c r="A207" s="1"/>
      <c r="B207" s="1"/>
      <c r="C207" s="1"/>
    </row>
    <row r="208" spans="1:3" ht="15.75">
      <c r="A208" s="1"/>
      <c r="B208" s="1"/>
      <c r="C208" s="1"/>
    </row>
    <row r="209" spans="1:3" ht="15.75">
      <c r="A209" s="1"/>
      <c r="B209" s="1"/>
      <c r="C209" s="1"/>
    </row>
    <row r="210" spans="1:3" ht="15.75">
      <c r="A210" s="1"/>
      <c r="B210" s="1"/>
      <c r="C210" s="1"/>
    </row>
    <row r="211" spans="1:3" ht="15.75">
      <c r="A211" s="1"/>
      <c r="B211" s="1"/>
      <c r="C211" s="1"/>
    </row>
    <row r="212" spans="1:3" ht="15.75">
      <c r="A212" s="1"/>
      <c r="B212" s="1"/>
      <c r="C212" s="1"/>
    </row>
    <row r="213" spans="1:3" ht="15.75">
      <c r="A213" s="1"/>
      <c r="B213" s="1"/>
      <c r="C213" s="1"/>
    </row>
    <row r="214" spans="1:3" ht="15.75">
      <c r="A214" s="1"/>
      <c r="B214" s="1"/>
      <c r="C214" s="1"/>
    </row>
    <row r="215" spans="1:3" ht="15.75">
      <c r="A215" s="1"/>
      <c r="B215" s="1"/>
      <c r="C215" s="1"/>
    </row>
    <row r="216" spans="1:3" ht="15.75">
      <c r="A216" s="1"/>
      <c r="B216" s="1"/>
      <c r="C216" s="1"/>
    </row>
    <row r="217" spans="1:3" ht="15.75">
      <c r="A217" s="1"/>
      <c r="B217" s="1"/>
      <c r="C217" s="1"/>
    </row>
    <row r="218" spans="1:3" ht="15.75">
      <c r="A218" s="1"/>
      <c r="B218" s="1"/>
      <c r="C218" s="1"/>
    </row>
    <row r="219" spans="1:3" ht="15.75">
      <c r="A219" s="1"/>
      <c r="B219" s="1"/>
      <c r="C219" s="1"/>
    </row>
    <row r="220" spans="1:3" ht="15.75">
      <c r="A220" s="1"/>
      <c r="B220" s="1"/>
      <c r="C220" s="1"/>
    </row>
    <row r="221" spans="1:3" ht="15.75">
      <c r="A221" s="1"/>
      <c r="B221" s="1"/>
      <c r="C221" s="1"/>
    </row>
    <row r="222" spans="1:3" ht="15.75">
      <c r="A222" s="1"/>
      <c r="B222" s="1"/>
      <c r="C222" s="1"/>
    </row>
    <row r="223" spans="1:3" ht="15.75">
      <c r="A223" s="1"/>
      <c r="B223" s="1"/>
      <c r="C223" s="1"/>
    </row>
    <row r="224" spans="1:3" ht="15.75">
      <c r="A224" s="1"/>
      <c r="B224" s="1"/>
      <c r="C224" s="1"/>
    </row>
    <row r="225" spans="1:3" ht="15.75">
      <c r="A225" s="1"/>
      <c r="B225" s="1"/>
      <c r="C225" s="1"/>
    </row>
    <row r="226" spans="1:3" ht="15.75">
      <c r="A226" s="1"/>
      <c r="B226" s="1"/>
      <c r="C226" s="1"/>
    </row>
    <row r="227" spans="1:3" ht="15.75">
      <c r="A227" s="1"/>
      <c r="B227" s="1"/>
      <c r="C227" s="1"/>
    </row>
    <row r="228" spans="1:3" ht="15.75">
      <c r="A228" s="1"/>
      <c r="B228" s="1"/>
      <c r="C228" s="1"/>
    </row>
    <row r="229" spans="1:3" ht="15.75">
      <c r="A229" s="1"/>
      <c r="B229" s="1"/>
      <c r="C229" s="1"/>
    </row>
    <row r="230" spans="1:3" ht="15.75">
      <c r="A230" s="1"/>
      <c r="B230" s="1"/>
      <c r="C230" s="1"/>
    </row>
    <row r="231" spans="1:3" ht="15.75">
      <c r="A231" s="1"/>
      <c r="B231" s="1"/>
      <c r="C231" s="1"/>
    </row>
    <row r="232" spans="1:3" ht="15.75">
      <c r="A232" s="1"/>
      <c r="B232" s="1"/>
      <c r="C232" s="1"/>
    </row>
    <row r="233" spans="1:3" ht="15.75">
      <c r="A233" s="1"/>
      <c r="B233" s="1"/>
      <c r="C233" s="1"/>
    </row>
    <row r="234" spans="1:3" ht="15.75">
      <c r="A234" s="1"/>
      <c r="B234" s="1"/>
      <c r="C234" s="1"/>
    </row>
    <row r="235" spans="1:3" ht="15.75">
      <c r="A235" s="1"/>
      <c r="B235" s="1"/>
      <c r="C235" s="1"/>
    </row>
    <row r="236" spans="1:3" ht="15.75">
      <c r="A236" s="1"/>
      <c r="B236" s="1"/>
      <c r="C236" s="1"/>
    </row>
    <row r="237" spans="1:3" ht="15.75">
      <c r="A237" s="1"/>
      <c r="B237" s="1"/>
      <c r="C237" s="1"/>
    </row>
    <row r="238" spans="1:3" ht="15.75">
      <c r="A238" s="1"/>
      <c r="B238" s="1"/>
      <c r="C238" s="1"/>
    </row>
    <row r="239" spans="1:3" ht="15.75">
      <c r="A239" s="1"/>
      <c r="B239" s="1"/>
      <c r="C239" s="1"/>
    </row>
    <row r="240" spans="1:3" ht="15.75">
      <c r="A240" s="1"/>
      <c r="B240" s="1"/>
      <c r="C240" s="1"/>
    </row>
    <row r="241" spans="1:3" ht="15.75">
      <c r="A241" s="1"/>
      <c r="B241" s="1"/>
      <c r="C241" s="1"/>
    </row>
    <row r="242" spans="1:3" ht="15.75">
      <c r="A242" s="1"/>
      <c r="B242" s="1"/>
      <c r="C242" s="1"/>
    </row>
    <row r="243" spans="1:3" ht="15.75">
      <c r="A243" s="1"/>
      <c r="B243" s="1"/>
      <c r="C243" s="1"/>
    </row>
    <row r="244" spans="1:3" ht="15.75">
      <c r="A244" s="1"/>
      <c r="B244" s="1"/>
      <c r="C244" s="1"/>
    </row>
    <row r="245" spans="1:3" ht="15.75">
      <c r="A245" s="1"/>
      <c r="B245" s="1"/>
      <c r="C245" s="1"/>
    </row>
    <row r="246" spans="1:3" ht="15.75">
      <c r="A246" s="1"/>
      <c r="B246" s="1"/>
      <c r="C246" s="1"/>
    </row>
    <row r="247" spans="1:3" ht="15.75">
      <c r="A247" s="1"/>
      <c r="B247" s="1"/>
      <c r="C247" s="1"/>
    </row>
    <row r="248" spans="1:3" ht="15.75">
      <c r="A248" s="1"/>
      <c r="B248" s="1"/>
      <c r="C248" s="1"/>
    </row>
    <row r="249" spans="1:3" ht="15.75">
      <c r="A249" s="1"/>
      <c r="B249" s="1"/>
      <c r="C249" s="1"/>
    </row>
    <row r="250" spans="1:3" ht="15.75">
      <c r="A250" s="1"/>
      <c r="B250" s="1"/>
      <c r="C250" s="1"/>
    </row>
    <row r="251" spans="1:3" ht="15.75">
      <c r="A251" s="1"/>
      <c r="B251" s="1"/>
      <c r="C251" s="1"/>
    </row>
    <row r="252" spans="1:3" ht="15.75">
      <c r="A252" s="1"/>
      <c r="B252" s="1"/>
      <c r="C252" s="1"/>
    </row>
    <row r="253" spans="1:3" ht="15.75">
      <c r="A253" s="1"/>
      <c r="B253" s="1"/>
      <c r="C253" s="1"/>
    </row>
    <row r="254" spans="1:3" ht="15.75">
      <c r="A254" s="1"/>
      <c r="B254" s="1"/>
      <c r="C254" s="1"/>
    </row>
    <row r="255" spans="1:3" ht="15.75">
      <c r="A255" s="1"/>
      <c r="B255" s="1"/>
      <c r="C255" s="1"/>
    </row>
    <row r="256" spans="1:3" ht="15.75">
      <c r="A256" s="1"/>
      <c r="B256" s="1"/>
      <c r="C256" s="1"/>
    </row>
    <row r="257" spans="1:3" ht="15.75">
      <c r="A257" s="1"/>
      <c r="B257" s="1"/>
      <c r="C257" s="1"/>
    </row>
    <row r="258" spans="1:3" ht="15.75">
      <c r="A258" s="1"/>
      <c r="B258" s="1"/>
      <c r="C258" s="1"/>
    </row>
    <row r="259" spans="1:3" ht="15.75">
      <c r="A259" s="1"/>
      <c r="B259" s="1"/>
      <c r="C259" s="1"/>
    </row>
    <row r="260" spans="1:3" ht="15.75">
      <c r="A260" s="1"/>
      <c r="B260" s="1"/>
      <c r="C260" s="1"/>
    </row>
    <row r="261" spans="1:3" ht="15.75">
      <c r="A261" s="1"/>
      <c r="B261" s="1"/>
      <c r="C261" s="1"/>
    </row>
    <row r="262" spans="1:3" ht="15.75">
      <c r="A262" s="1"/>
      <c r="B262" s="1"/>
      <c r="C262" s="1"/>
    </row>
    <row r="263" spans="1:3" ht="15.75">
      <c r="A263" s="1"/>
      <c r="B263" s="1"/>
      <c r="C263" s="1"/>
    </row>
    <row r="264" spans="1:3" ht="15.75">
      <c r="A264" s="1"/>
      <c r="B264" s="1"/>
      <c r="C264" s="1"/>
    </row>
    <row r="265" spans="1:3" ht="15.75">
      <c r="A265" s="1"/>
      <c r="B265" s="1"/>
      <c r="C265" s="1"/>
    </row>
    <row r="266" spans="1:3" ht="15.75">
      <c r="A266" s="1"/>
      <c r="B266" s="1"/>
      <c r="C266" s="1"/>
    </row>
    <row r="267" spans="1:3" ht="15.75">
      <c r="A267" s="1"/>
      <c r="B267" s="1"/>
      <c r="C267" s="1"/>
    </row>
    <row r="268" spans="1:3" ht="15.75">
      <c r="A268" s="1"/>
      <c r="B268" s="1"/>
      <c r="C268" s="1"/>
    </row>
    <row r="269" spans="1:3" ht="15.75">
      <c r="A269" s="1"/>
      <c r="B269" s="1"/>
      <c r="C269" s="1"/>
    </row>
    <row r="270" spans="1:3" ht="15.75">
      <c r="A270" s="1"/>
      <c r="B270" s="1"/>
      <c r="C270" s="1"/>
    </row>
    <row r="271" spans="1:3" ht="15.75">
      <c r="A271" s="1"/>
      <c r="B271" s="1"/>
      <c r="C271" s="1"/>
    </row>
    <row r="272" spans="1:3" ht="15.75">
      <c r="A272" s="1"/>
      <c r="B272" s="1"/>
      <c r="C272" s="1"/>
    </row>
    <row r="273" spans="1:3" ht="15.75">
      <c r="A273" s="1"/>
      <c r="B273" s="1"/>
      <c r="C273" s="1"/>
    </row>
    <row r="274" spans="1:3" ht="15.75">
      <c r="A274" s="1"/>
      <c r="B274" s="1"/>
      <c r="C274" s="1"/>
    </row>
    <row r="275" spans="1:3" ht="15.75">
      <c r="A275" s="1"/>
      <c r="B275" s="1"/>
      <c r="C275" s="1"/>
    </row>
    <row r="276" spans="1:3" ht="15.75">
      <c r="A276" s="1"/>
      <c r="B276" s="1"/>
      <c r="C276" s="1"/>
    </row>
    <row r="277" spans="1:3" ht="15.75">
      <c r="A277" s="1"/>
      <c r="B277" s="1"/>
      <c r="C277" s="1"/>
    </row>
    <row r="278" spans="1:3" ht="15.75">
      <c r="A278" s="1"/>
      <c r="B278" s="1"/>
      <c r="C278" s="1"/>
    </row>
    <row r="279" spans="1:3" ht="15.75">
      <c r="A279" s="1"/>
      <c r="B279" s="1"/>
      <c r="C279" s="1"/>
    </row>
    <row r="280" spans="1:3" ht="15.75">
      <c r="A280" s="1"/>
      <c r="B280" s="1"/>
      <c r="C280" s="1"/>
    </row>
    <row r="281" spans="1:3" ht="15.75">
      <c r="A281" s="1"/>
      <c r="B281" s="1"/>
      <c r="C281" s="1"/>
    </row>
    <row r="282" spans="1:3" ht="15.75">
      <c r="A282" s="1"/>
      <c r="B282" s="1"/>
      <c r="C282" s="1"/>
    </row>
    <row r="283" spans="1:3" ht="15.75">
      <c r="A283" s="1"/>
      <c r="B283" s="1"/>
      <c r="C283" s="1"/>
    </row>
    <row r="284" spans="1:3" ht="15.75">
      <c r="A284" s="1"/>
      <c r="B284" s="1"/>
      <c r="C284" s="1"/>
    </row>
    <row r="285" spans="1:3" ht="15.75">
      <c r="A285" s="1"/>
      <c r="B285" s="1"/>
      <c r="C285" s="1"/>
    </row>
    <row r="286" spans="1:3" ht="15.75">
      <c r="A286" s="1"/>
      <c r="B286" s="1"/>
      <c r="C286" s="1"/>
    </row>
    <row r="287" spans="1:3" ht="15.75">
      <c r="A287" s="1"/>
      <c r="B287" s="1"/>
      <c r="C287" s="1"/>
    </row>
    <row r="288" spans="1:3" ht="15.75">
      <c r="A288" s="1"/>
      <c r="B288" s="1"/>
      <c r="C288" s="1"/>
    </row>
    <row r="289" spans="1:3" ht="15.75">
      <c r="A289" s="1"/>
      <c r="B289" s="1"/>
      <c r="C289" s="1"/>
    </row>
    <row r="290" spans="1:3" ht="15.75">
      <c r="A290" s="1"/>
      <c r="B290" s="1"/>
      <c r="C290" s="1"/>
    </row>
    <row r="291" spans="1:3" ht="15.75">
      <c r="A291" s="1"/>
      <c r="B291" s="1"/>
      <c r="C291" s="1"/>
    </row>
    <row r="292" spans="1:3" ht="15.75">
      <c r="A292" s="1"/>
      <c r="B292" s="1"/>
      <c r="C292" s="1"/>
    </row>
    <row r="293" spans="1:3" ht="15.75">
      <c r="A293" s="1"/>
      <c r="B293" s="1"/>
      <c r="C293" s="1"/>
    </row>
    <row r="294" spans="1:3" ht="15.75">
      <c r="A294" s="1"/>
      <c r="B294" s="1"/>
      <c r="C294" s="1"/>
    </row>
    <row r="295" spans="1:3" ht="15.75">
      <c r="A295" s="1"/>
      <c r="B295" s="1"/>
      <c r="C295" s="1"/>
    </row>
    <row r="296" spans="1:3" ht="15.75">
      <c r="A296" s="1"/>
      <c r="B296" s="1"/>
      <c r="C296" s="1"/>
    </row>
    <row r="297" spans="1:3" ht="15.75">
      <c r="A297" s="1"/>
      <c r="B297" s="1"/>
      <c r="C297" s="1"/>
    </row>
    <row r="298" spans="1:3" ht="15.75">
      <c r="A298" s="1"/>
      <c r="B298" s="1"/>
      <c r="C298" s="1"/>
    </row>
    <row r="299" spans="1:3" ht="15.75">
      <c r="A299" s="1"/>
      <c r="B299" s="1"/>
      <c r="C299" s="1"/>
    </row>
    <row r="300" spans="1:3" ht="15.75">
      <c r="A300" s="1"/>
      <c r="B300" s="1"/>
      <c r="C300" s="1"/>
    </row>
    <row r="301" spans="1:3" ht="15.75">
      <c r="A301" s="1"/>
      <c r="B301" s="1"/>
      <c r="C301" s="1"/>
    </row>
    <row r="302" spans="1:3" ht="15.75">
      <c r="A302" s="1"/>
      <c r="B302" s="1"/>
      <c r="C302" s="1"/>
    </row>
    <row r="303" spans="1:3" ht="15.75">
      <c r="A303" s="1"/>
      <c r="B303" s="1"/>
      <c r="C303" s="1"/>
    </row>
    <row r="304" spans="1:3" ht="15.75">
      <c r="A304" s="1"/>
      <c r="B304" s="1"/>
      <c r="C304" s="1"/>
    </row>
    <row r="305" spans="1:3" ht="15.75">
      <c r="A305" s="1"/>
      <c r="B305" s="1"/>
      <c r="C305" s="1"/>
    </row>
    <row r="306" spans="1:3" ht="15.75">
      <c r="A306" s="1"/>
      <c r="B306" s="1"/>
      <c r="C306" s="1"/>
    </row>
    <row r="307" spans="1:3" ht="15.75">
      <c r="A307" s="1"/>
      <c r="B307" s="1"/>
      <c r="C307" s="1"/>
    </row>
    <row r="308" spans="1:3" ht="15.75">
      <c r="A308" s="1"/>
      <c r="B308" s="1"/>
      <c r="C308" s="1"/>
    </row>
    <row r="309" spans="1:3" ht="15.75">
      <c r="A309" s="1"/>
      <c r="B309" s="1"/>
      <c r="C309" s="1"/>
    </row>
    <row r="310" spans="1:3" ht="15.75">
      <c r="A310" s="1"/>
      <c r="B310" s="1"/>
      <c r="C310" s="1"/>
    </row>
    <row r="311" spans="1:3" ht="15.75">
      <c r="A311" s="1"/>
      <c r="B311" s="1"/>
      <c r="C311" s="1"/>
    </row>
    <row r="312" spans="1:3" ht="15.75">
      <c r="A312" s="1"/>
      <c r="B312" s="1"/>
      <c r="C312" s="1"/>
    </row>
    <row r="313" spans="1:3" ht="15.75">
      <c r="A313" s="1"/>
      <c r="B313" s="1"/>
      <c r="C313" s="1"/>
    </row>
    <row r="314" spans="1:3" ht="15.75">
      <c r="A314" s="1"/>
      <c r="B314" s="1"/>
      <c r="C314" s="1"/>
    </row>
    <row r="315" spans="1:3" ht="15.75">
      <c r="A315" s="1"/>
      <c r="B315" s="1"/>
      <c r="C315" s="1"/>
    </row>
    <row r="316" spans="1:3" ht="15.75">
      <c r="A316" s="1"/>
      <c r="B316" s="1"/>
      <c r="C316" s="1"/>
    </row>
    <row r="317" spans="1:3" ht="15.75">
      <c r="A317" s="1"/>
      <c r="B317" s="1"/>
      <c r="C317" s="1"/>
    </row>
    <row r="318" spans="1:3" ht="15.75">
      <c r="A318" s="1"/>
      <c r="B318" s="1"/>
      <c r="C318" s="1"/>
    </row>
    <row r="319" spans="1:3" ht="15.75">
      <c r="A319" s="1"/>
      <c r="B319" s="1"/>
      <c r="C319" s="1"/>
    </row>
    <row r="320" spans="1:3" ht="15.75">
      <c r="A320" s="1"/>
      <c r="B320" s="1"/>
      <c r="C320" s="1"/>
    </row>
    <row r="321" spans="1:3" ht="15.75">
      <c r="A321" s="1"/>
      <c r="B321" s="1"/>
      <c r="C321" s="1"/>
    </row>
    <row r="322" spans="1:3" ht="15.75">
      <c r="A322" s="1"/>
      <c r="B322" s="1"/>
      <c r="C322" s="1"/>
    </row>
    <row r="323" spans="1:3" ht="15.75">
      <c r="A323" s="1"/>
      <c r="B323" s="1"/>
      <c r="C323" s="1"/>
    </row>
    <row r="324" spans="1:3" ht="15.75">
      <c r="A324" s="1"/>
      <c r="B324" s="1"/>
      <c r="C324" s="1"/>
    </row>
    <row r="325" spans="1:3" ht="15.75">
      <c r="A325" s="1"/>
      <c r="B325" s="1"/>
      <c r="C325" s="1"/>
    </row>
    <row r="326" spans="1:3" ht="15.75">
      <c r="A326" s="1"/>
      <c r="B326" s="1"/>
      <c r="C326" s="1"/>
    </row>
    <row r="327" spans="1:3" ht="15.75">
      <c r="A327" s="1"/>
      <c r="B327" s="1"/>
      <c r="C327" s="1"/>
    </row>
    <row r="328" spans="1:3" ht="15.75">
      <c r="A328" s="1"/>
      <c r="B328" s="1"/>
      <c r="C328" s="1"/>
    </row>
    <row r="329" spans="1:3" ht="15.75">
      <c r="A329" s="1"/>
      <c r="B329" s="1"/>
      <c r="C329" s="1"/>
    </row>
    <row r="330" spans="1:3" ht="15.75">
      <c r="A330" s="1"/>
      <c r="B330" s="1"/>
      <c r="C330" s="1"/>
    </row>
    <row r="331" spans="1:3" ht="15.75">
      <c r="A331" s="1"/>
      <c r="B331" s="1"/>
      <c r="C331" s="1"/>
    </row>
    <row r="332" spans="1:3" ht="15.75">
      <c r="A332" s="1"/>
      <c r="B332" s="1"/>
      <c r="C332" s="1"/>
    </row>
    <row r="333" spans="1:3" ht="15.75">
      <c r="A333" s="1"/>
      <c r="B333" s="1"/>
      <c r="C333" s="1"/>
    </row>
    <row r="334" spans="1:3" ht="15.75">
      <c r="A334" s="1"/>
      <c r="B334" s="1"/>
      <c r="C334" s="1"/>
    </row>
    <row r="335" spans="1:3" ht="15.75">
      <c r="A335" s="1"/>
      <c r="B335" s="1"/>
      <c r="C335" s="1"/>
    </row>
    <row r="336" spans="1:3" ht="15.75">
      <c r="A336" s="1"/>
      <c r="B336" s="1"/>
      <c r="C336" s="1"/>
    </row>
    <row r="337" spans="1:3" ht="15.75">
      <c r="A337" s="1"/>
      <c r="B337" s="1"/>
      <c r="C337" s="1"/>
    </row>
    <row r="338" spans="1:3" ht="15.75">
      <c r="A338" s="1"/>
      <c r="B338" s="1"/>
      <c r="C338" s="1"/>
    </row>
    <row r="339" spans="1:3" ht="15.75">
      <c r="A339" s="1"/>
      <c r="B339" s="1"/>
      <c r="C339" s="1"/>
    </row>
    <row r="340" spans="1:3" ht="15.75">
      <c r="A340" s="1"/>
      <c r="B340" s="1"/>
      <c r="C340" s="1"/>
    </row>
    <row r="341" spans="1:3" ht="15.75">
      <c r="A341" s="1"/>
      <c r="B341" s="1"/>
      <c r="C341" s="1"/>
    </row>
    <row r="342" spans="1:3" ht="15.75">
      <c r="A342" s="1"/>
      <c r="B342" s="1"/>
      <c r="C342" s="1"/>
    </row>
    <row r="343" spans="1:3" ht="15.75">
      <c r="A343" s="1"/>
      <c r="B343" s="1"/>
      <c r="C343" s="1"/>
    </row>
    <row r="344" spans="1:3" ht="15.75">
      <c r="A344" s="1"/>
      <c r="B344" s="1"/>
      <c r="C344" s="1"/>
    </row>
    <row r="345" spans="1:3" ht="15.75">
      <c r="A345" s="1"/>
      <c r="B345" s="1"/>
      <c r="C345" s="1"/>
    </row>
    <row r="346" spans="1:3" ht="15.75">
      <c r="A346" s="1"/>
      <c r="B346" s="1"/>
      <c r="C346" s="1"/>
    </row>
    <row r="347" spans="1:3" ht="15.75">
      <c r="A347" s="1"/>
      <c r="B347" s="1"/>
      <c r="C347" s="1"/>
    </row>
    <row r="348" spans="1:3" ht="15.75">
      <c r="A348" s="1"/>
      <c r="B348" s="1"/>
      <c r="C348" s="1"/>
    </row>
    <row r="349" spans="1:3" ht="15.75">
      <c r="A349" s="1"/>
      <c r="B349" s="1"/>
      <c r="C349" s="1"/>
    </row>
    <row r="350" spans="1:3" ht="15.75">
      <c r="A350" s="1"/>
      <c r="B350" s="1"/>
      <c r="C350" s="1"/>
    </row>
    <row r="351" spans="1:3" ht="15.75">
      <c r="A351" s="1"/>
      <c r="B351" s="1"/>
      <c r="C351" s="1"/>
    </row>
    <row r="352" spans="1:3" ht="15.75">
      <c r="A352" s="1"/>
      <c r="B352" s="1"/>
      <c r="C352" s="1"/>
    </row>
    <row r="353" spans="1:3" ht="15.75">
      <c r="A353" s="1"/>
      <c r="B353" s="1"/>
      <c r="C353" s="1"/>
    </row>
    <row r="354" spans="1:3" ht="15.75">
      <c r="A354" s="1"/>
      <c r="B354" s="1"/>
      <c r="C354" s="1"/>
    </row>
    <row r="355" spans="1:3" ht="15.75">
      <c r="A355" s="1"/>
      <c r="B355" s="1"/>
      <c r="C355" s="1"/>
    </row>
    <row r="356" spans="1:3" ht="15.75">
      <c r="A356" s="1"/>
      <c r="B356" s="1"/>
      <c r="C356" s="1"/>
    </row>
    <row r="357" spans="1:3" ht="15.75">
      <c r="A357" s="1"/>
      <c r="B357" s="1"/>
      <c r="C357" s="1"/>
    </row>
    <row r="358" spans="1:3" ht="15.75">
      <c r="A358" s="1"/>
      <c r="B358" s="1"/>
      <c r="C358" s="1"/>
    </row>
    <row r="359" spans="1:3" ht="15.75">
      <c r="A359" s="1"/>
      <c r="B359" s="1"/>
      <c r="C359" s="1"/>
    </row>
    <row r="360" spans="1:3" ht="15.75">
      <c r="A360" s="1"/>
      <c r="B360" s="1"/>
      <c r="C360" s="1"/>
    </row>
    <row r="361" spans="1:3" ht="15.75">
      <c r="A361" s="1"/>
      <c r="B361" s="1"/>
      <c r="C361" s="1"/>
    </row>
    <row r="362" spans="1:3" ht="15.75">
      <c r="A362" s="1"/>
      <c r="B362" s="1"/>
      <c r="C362" s="1"/>
    </row>
    <row r="363" spans="1:3" ht="15.75">
      <c r="A363" s="1"/>
      <c r="B363" s="1"/>
      <c r="C363" s="1"/>
    </row>
    <row r="364" spans="1:3" ht="15.75">
      <c r="A364" s="1"/>
      <c r="B364" s="1"/>
      <c r="C364" s="1"/>
    </row>
    <row r="365" spans="1:3" ht="15.75">
      <c r="A365" s="1"/>
      <c r="B365" s="1"/>
      <c r="C365" s="1"/>
    </row>
    <row r="366" spans="1:3" ht="15.75">
      <c r="A366" s="1"/>
      <c r="B366" s="1"/>
      <c r="C366" s="1"/>
    </row>
    <row r="367" spans="1:3" ht="15.75">
      <c r="A367" s="1"/>
      <c r="B367" s="1"/>
      <c r="C367" s="1"/>
    </row>
    <row r="368" spans="1:3" ht="15.75">
      <c r="A368" s="1"/>
      <c r="B368" s="1"/>
      <c r="C368" s="1"/>
    </row>
    <row r="369" spans="1:3" ht="15.75">
      <c r="A369" s="1"/>
      <c r="B369" s="1"/>
      <c r="C369" s="1"/>
    </row>
    <row r="370" spans="1:3" ht="15.75">
      <c r="A370" s="1"/>
      <c r="B370" s="1"/>
      <c r="C370" s="1"/>
    </row>
    <row r="371" spans="1:3" ht="15.75">
      <c r="A371" s="1"/>
      <c r="B371" s="1"/>
      <c r="C371" s="1"/>
    </row>
    <row r="372" spans="1:3" ht="15.75">
      <c r="A372" s="1"/>
      <c r="B372" s="1"/>
      <c r="C372" s="1"/>
    </row>
    <row r="373" spans="1:3" ht="15.75">
      <c r="A373" s="1"/>
      <c r="B373" s="1"/>
      <c r="C373" s="1"/>
    </row>
    <row r="374" spans="1:3" ht="15.75">
      <c r="A374" s="1"/>
      <c r="B374" s="1"/>
      <c r="C374" s="1"/>
    </row>
    <row r="375" spans="1:3" ht="15.75">
      <c r="A375" s="1"/>
      <c r="B375" s="1"/>
      <c r="C375" s="1"/>
    </row>
    <row r="376" spans="1:3" ht="15.75">
      <c r="A376" s="1"/>
      <c r="B376" s="1"/>
      <c r="C376" s="1"/>
    </row>
    <row r="377" spans="1:3" ht="15.75">
      <c r="A377" s="1"/>
      <c r="B377" s="1"/>
      <c r="C377" s="1"/>
    </row>
    <row r="378" spans="1:3" ht="15.75">
      <c r="A378" s="1"/>
      <c r="B378" s="1"/>
      <c r="C378" s="1"/>
    </row>
    <row r="379" spans="1:3" ht="15.75">
      <c r="A379" s="1"/>
      <c r="B379" s="1"/>
      <c r="C379" s="1"/>
    </row>
    <row r="380" spans="1:3" ht="15.75">
      <c r="A380" s="1"/>
      <c r="B380" s="1"/>
      <c r="C380" s="1"/>
    </row>
    <row r="381" spans="1:3" ht="15.75">
      <c r="A381" s="1"/>
      <c r="B381" s="1"/>
      <c r="C381" s="1"/>
    </row>
    <row r="382" spans="1:3" ht="15.75">
      <c r="A382" s="1"/>
      <c r="B382" s="1"/>
      <c r="C382" s="1"/>
    </row>
    <row r="383" spans="1:3" ht="15.75">
      <c r="A383" s="1"/>
      <c r="B383" s="1"/>
      <c r="C383" s="1"/>
    </row>
    <row r="384" spans="1:3" ht="15.75">
      <c r="A384" s="1"/>
      <c r="B384" s="1"/>
      <c r="C384" s="1"/>
    </row>
    <row r="385" spans="1:3" ht="15.75">
      <c r="A385" s="1"/>
      <c r="B385" s="1"/>
      <c r="C385" s="1"/>
    </row>
    <row r="386" spans="1:3" ht="15.75">
      <c r="A386" s="1"/>
      <c r="B386" s="1"/>
      <c r="C386" s="1"/>
    </row>
    <row r="387" spans="1:3" ht="15.75">
      <c r="A387" s="1"/>
      <c r="B387" s="1"/>
      <c r="C387" s="1"/>
    </row>
    <row r="388" spans="1:3" ht="15.75">
      <c r="A388" s="1"/>
      <c r="B388" s="1"/>
      <c r="C388" s="1"/>
    </row>
    <row r="389" spans="1:3" ht="15.75">
      <c r="A389" s="1"/>
      <c r="B389" s="1"/>
      <c r="C389" s="1"/>
    </row>
    <row r="390" spans="1:3" ht="15.75">
      <c r="A390" s="1"/>
      <c r="B390" s="1"/>
      <c r="C390" s="1"/>
    </row>
    <row r="391" spans="1:3" ht="15.75">
      <c r="A391" s="1"/>
      <c r="B391" s="1"/>
      <c r="C391" s="1"/>
    </row>
    <row r="392" spans="1:3" ht="15.75">
      <c r="A392" s="1"/>
      <c r="B392" s="1"/>
      <c r="C392" s="1"/>
    </row>
    <row r="393" spans="1:3" ht="15.75">
      <c r="A393" s="1"/>
      <c r="B393" s="1"/>
      <c r="C393" s="1"/>
    </row>
    <row r="394" spans="1:3" ht="15.75">
      <c r="A394" s="1"/>
      <c r="B394" s="1"/>
      <c r="C394" s="1"/>
    </row>
    <row r="395" spans="1:3" ht="15.75">
      <c r="A395" s="1"/>
      <c r="B395" s="1"/>
      <c r="C395" s="1"/>
    </row>
    <row r="396" spans="1:3" ht="15.75">
      <c r="A396" s="1"/>
      <c r="B396" s="1"/>
      <c r="C396" s="1"/>
    </row>
    <row r="397" spans="1:3" ht="15.75">
      <c r="A397" s="1"/>
      <c r="B397" s="1"/>
      <c r="C397" s="1"/>
    </row>
    <row r="398" spans="1:3" ht="15.75">
      <c r="A398" s="1"/>
      <c r="B398" s="1"/>
      <c r="C398" s="1"/>
    </row>
    <row r="399" spans="1:3" ht="15.75">
      <c r="A399" s="1"/>
      <c r="B399" s="1"/>
      <c r="C399" s="1"/>
    </row>
    <row r="400" spans="1:3" ht="15.75">
      <c r="A400" s="1"/>
      <c r="B400" s="1"/>
      <c r="C400" s="1"/>
    </row>
    <row r="401" spans="1:3" ht="15.75">
      <c r="A401" s="1"/>
      <c r="B401" s="1"/>
      <c r="C401" s="1"/>
    </row>
    <row r="402" spans="1:3" ht="15.75">
      <c r="A402" s="1"/>
      <c r="B402" s="1"/>
      <c r="C402" s="1"/>
    </row>
    <row r="403" spans="1:3" ht="15.75">
      <c r="A403" s="1"/>
      <c r="B403" s="1"/>
      <c r="C403" s="1"/>
    </row>
    <row r="404" spans="1:3" ht="15.75">
      <c r="A404" s="1"/>
      <c r="B404" s="1"/>
      <c r="C404" s="1"/>
    </row>
    <row r="405" spans="1:3" ht="15.75">
      <c r="A405" s="1"/>
      <c r="B405" s="1"/>
      <c r="C405" s="1"/>
    </row>
    <row r="406" spans="1:3" ht="15.75">
      <c r="A406" s="1"/>
      <c r="B406" s="1"/>
      <c r="C406" s="1"/>
    </row>
    <row r="407" spans="1:3" ht="15.75">
      <c r="A407" s="1"/>
      <c r="B407" s="1"/>
      <c r="C407" s="1"/>
    </row>
    <row r="408" spans="1:3" ht="15.75">
      <c r="A408" s="1"/>
      <c r="B408" s="1"/>
      <c r="C408" s="1"/>
    </row>
    <row r="409" spans="1:3" ht="15.75">
      <c r="A409" s="1"/>
      <c r="B409" s="1"/>
      <c r="C409" s="1"/>
    </row>
    <row r="410" spans="1:3" ht="15.75">
      <c r="A410" s="1"/>
      <c r="B410" s="1"/>
      <c r="C410" s="1"/>
    </row>
    <row r="411" spans="1:3" ht="15.75">
      <c r="A411" s="1"/>
      <c r="B411" s="1"/>
      <c r="C411" s="1"/>
    </row>
    <row r="412" spans="1:3" ht="15.75">
      <c r="A412" s="1"/>
      <c r="B412" s="1"/>
      <c r="C412" s="1"/>
    </row>
    <row r="413" spans="1:3" ht="15.75">
      <c r="A413" s="1"/>
      <c r="B413" s="1"/>
      <c r="C413" s="1"/>
    </row>
    <row r="414" spans="1:3" ht="15.75">
      <c r="A414" s="1"/>
      <c r="B414" s="1"/>
      <c r="C414" s="1"/>
    </row>
    <row r="415" spans="1:3" ht="15.75">
      <c r="A415" s="1"/>
      <c r="B415" s="1"/>
      <c r="C415" s="1"/>
    </row>
    <row r="416" spans="1:3" ht="15.75">
      <c r="A416" s="1"/>
      <c r="B416" s="1"/>
      <c r="C416" s="1"/>
    </row>
    <row r="417" spans="1:3" ht="15.75">
      <c r="A417" s="1"/>
      <c r="B417" s="1"/>
      <c r="C417" s="1"/>
    </row>
    <row r="418" spans="1:3" ht="15.75">
      <c r="A418" s="1"/>
      <c r="B418" s="1"/>
      <c r="C418" s="1"/>
    </row>
    <row r="419" spans="1:3" ht="15.75">
      <c r="A419" s="1"/>
      <c r="B419" s="1"/>
      <c r="C419" s="1"/>
    </row>
    <row r="420" spans="1:3" ht="15.75">
      <c r="A420" s="1"/>
      <c r="B420" s="1"/>
      <c r="C420" s="1"/>
    </row>
    <row r="421" spans="1:3" ht="15.75">
      <c r="A421" s="1"/>
      <c r="B421" s="1"/>
      <c r="C421" s="1"/>
    </row>
    <row r="422" spans="1:3" ht="15.75">
      <c r="A422" s="1"/>
      <c r="B422" s="1"/>
      <c r="C422" s="1"/>
    </row>
    <row r="423" spans="1:3" ht="15.75">
      <c r="A423" s="1"/>
      <c r="B423" s="1"/>
      <c r="C423" s="1"/>
    </row>
    <row r="424" spans="1:3" ht="15.75">
      <c r="A424" s="1"/>
      <c r="B424" s="1"/>
      <c r="C424" s="1"/>
    </row>
    <row r="425" spans="1:3" ht="15.75">
      <c r="A425" s="1"/>
      <c r="B425" s="1"/>
      <c r="C425" s="1"/>
    </row>
    <row r="426" spans="1:3" ht="15.75">
      <c r="A426" s="1"/>
      <c r="B426" s="1"/>
      <c r="C426" s="1"/>
    </row>
    <row r="427" spans="1:3" ht="15.75">
      <c r="A427" s="1"/>
      <c r="B427" s="1"/>
      <c r="C427" s="1"/>
    </row>
    <row r="428" spans="1:3" ht="15.75">
      <c r="A428" s="1"/>
      <c r="B428" s="1"/>
      <c r="C428" s="1"/>
    </row>
    <row r="429" spans="1:3" ht="15.75">
      <c r="A429" s="1"/>
      <c r="B429" s="1"/>
      <c r="C429" s="1"/>
    </row>
    <row r="430" spans="1:3" ht="15.75">
      <c r="A430" s="1"/>
      <c r="B430" s="1"/>
      <c r="C430" s="1"/>
    </row>
    <row r="431" spans="1:3" ht="15.75">
      <c r="A431" s="1"/>
      <c r="B431" s="1"/>
      <c r="C431" s="1"/>
    </row>
    <row r="432" spans="1:3" ht="15.75">
      <c r="A432" s="1"/>
      <c r="B432" s="1"/>
      <c r="C432" s="1"/>
    </row>
    <row r="433" spans="1:3" ht="15.75">
      <c r="A433" s="1"/>
      <c r="B433" s="1"/>
      <c r="C433" s="1"/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35B3B-4D9E-4950-9A69-A015E55C8C2B}">
  <dimension ref="A3:C7"/>
  <sheetViews>
    <sheetView tabSelected="1" workbookViewId="0">
      <selection activeCell="H17" sqref="H17"/>
    </sheetView>
  </sheetViews>
  <sheetFormatPr defaultRowHeight="15"/>
  <cols>
    <col min="1" max="1" width="15.25" bestFit="1" customWidth="1"/>
    <col min="2" max="2" width="27.5" bestFit="1" customWidth="1"/>
    <col min="3" max="3" width="18.5" bestFit="1" customWidth="1"/>
    <col min="4" max="18" width="3.25" bestFit="1" customWidth="1"/>
    <col min="19" max="19" width="5.125" bestFit="1" customWidth="1"/>
    <col min="20" max="20" width="7.5" bestFit="1" customWidth="1"/>
    <col min="21" max="21" width="5.125" bestFit="1" customWidth="1"/>
    <col min="22" max="22" width="7.5" bestFit="1" customWidth="1"/>
    <col min="23" max="23" width="5.125" bestFit="1" customWidth="1"/>
    <col min="24" max="24" width="2.125" bestFit="1" customWidth="1"/>
    <col min="25" max="25" width="7.5" bestFit="1" customWidth="1"/>
    <col min="26" max="26" width="5.125" bestFit="1" customWidth="1"/>
    <col min="27" max="28" width="2.125" bestFit="1" customWidth="1"/>
    <col min="29" max="29" width="7.5" bestFit="1" customWidth="1"/>
    <col min="30" max="30" width="5.125" bestFit="1" customWidth="1"/>
    <col min="31" max="31" width="7.5" bestFit="1" customWidth="1"/>
    <col min="32" max="32" width="5.125" bestFit="1" customWidth="1"/>
    <col min="33" max="33" width="2.125" bestFit="1" customWidth="1"/>
    <col min="34" max="34" width="7.5" bestFit="1" customWidth="1"/>
    <col min="35" max="35" width="5.125" bestFit="1" customWidth="1"/>
    <col min="36" max="37" width="2.125" bestFit="1" customWidth="1"/>
    <col min="38" max="38" width="7.5" bestFit="1" customWidth="1"/>
    <col min="39" max="39" width="5.125" bestFit="1" customWidth="1"/>
    <col min="40" max="40" width="7.5" bestFit="1" customWidth="1"/>
    <col min="41" max="41" width="5.125" bestFit="1" customWidth="1"/>
    <col min="42" max="42" width="7.5" bestFit="1" customWidth="1"/>
    <col min="43" max="43" width="5.125" bestFit="1" customWidth="1"/>
    <col min="44" max="45" width="2.125" bestFit="1" customWidth="1"/>
    <col min="46" max="46" width="7.5" bestFit="1" customWidth="1"/>
    <col min="47" max="47" width="5.125" bestFit="1" customWidth="1"/>
  </cols>
  <sheetData>
    <row r="3" spans="1:3">
      <c r="A3" s="14" t="s">
        <v>8</v>
      </c>
      <c r="B3" t="s">
        <v>59</v>
      </c>
      <c r="C3" t="s">
        <v>57</v>
      </c>
    </row>
    <row r="4" spans="1:3">
      <c r="A4" t="s">
        <v>19</v>
      </c>
      <c r="B4" s="13">
        <v>57.949074074074076</v>
      </c>
      <c r="C4" s="13">
        <v>5.1342592592592595</v>
      </c>
    </row>
    <row r="5" spans="1:3">
      <c r="A5" t="s">
        <v>22</v>
      </c>
      <c r="B5" s="13">
        <v>55</v>
      </c>
      <c r="C5" s="13">
        <v>5.7</v>
      </c>
    </row>
    <row r="6" spans="1:3">
      <c r="A6" t="s">
        <v>15</v>
      </c>
      <c r="B6" s="13">
        <v>61.236486486486484</v>
      </c>
      <c r="C6" s="13">
        <v>5.7297297297297298</v>
      </c>
    </row>
    <row r="7" spans="1:3">
      <c r="A7" t="s">
        <v>58</v>
      </c>
      <c r="B7" s="13">
        <v>59.171122994652407</v>
      </c>
      <c r="C7" s="13">
        <v>5.3850267379679142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93186-ADB9-4135-AC12-B80EDA0FEC73}">
  <sheetPr filterMode="1"/>
  <dimension ref="A1:P390"/>
  <sheetViews>
    <sheetView workbookViewId="0">
      <selection activeCell="K5" sqref="K5"/>
    </sheetView>
  </sheetViews>
  <sheetFormatPr defaultRowHeight="15.75"/>
  <cols>
    <col min="1" max="1" width="8.375" style="1" bestFit="1" customWidth="1"/>
    <col min="2" max="2" width="9.875" style="1" bestFit="1" customWidth="1"/>
    <col min="3" max="3" width="8" style="1" bestFit="1" customWidth="1"/>
    <col min="4" max="4" width="10" style="1" customWidth="1"/>
    <col min="5" max="5" width="16.375" style="1" bestFit="1" customWidth="1"/>
    <col min="6" max="6" width="13.875" style="1" bestFit="1" customWidth="1"/>
    <col min="7" max="7" width="13.375" style="1" bestFit="1" customWidth="1"/>
    <col min="8" max="8" width="20.5" style="1" bestFit="1" customWidth="1"/>
    <col min="9" max="9" width="18.625" style="1" bestFit="1" customWidth="1"/>
    <col min="10" max="10" width="19.625" style="1" bestFit="1" customWidth="1"/>
    <col min="11" max="11" width="19" style="1" bestFit="1" customWidth="1"/>
    <col min="12" max="13" width="12.25" style="1" customWidth="1"/>
    <col min="14" max="14" width="10.375" style="1" bestFit="1" customWidth="1"/>
    <col min="15" max="15" width="13.375" style="1" bestFit="1" customWidth="1"/>
    <col min="16" max="16" width="12" style="1" bestFit="1" customWidth="1"/>
    <col min="17" max="16384" width="9" style="1"/>
  </cols>
  <sheetData>
    <row r="1" spans="1:16" ht="32.25">
      <c r="A1" s="1" t="s">
        <v>0</v>
      </c>
      <c r="B1" s="1" t="s">
        <v>1</v>
      </c>
      <c r="C1" s="1" t="s">
        <v>2</v>
      </c>
      <c r="D1" s="2" t="s">
        <v>60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2" t="s">
        <v>61</v>
      </c>
      <c r="M1" s="2" t="s">
        <v>62</v>
      </c>
      <c r="N1" s="1" t="s">
        <v>10</v>
      </c>
      <c r="O1" s="1" t="s">
        <v>11</v>
      </c>
      <c r="P1" s="1" t="s">
        <v>12</v>
      </c>
    </row>
    <row r="2" spans="1:16" ht="16.5">
      <c r="A2" s="1">
        <v>1</v>
      </c>
      <c r="B2" s="1" t="s">
        <v>13</v>
      </c>
      <c r="C2" s="1">
        <v>27</v>
      </c>
      <c r="D2" s="2" t="str" cm="1">
        <f t="array" ref="D2">_xlfn.IFS(C2&lt;35, "young", C2&lt;50, "middle age", C2&gt;=50, "old")</f>
        <v>young</v>
      </c>
      <c r="E2" s="1" t="s">
        <v>14</v>
      </c>
      <c r="F2" s="1">
        <v>6.1</v>
      </c>
      <c r="G2" s="1">
        <v>6</v>
      </c>
      <c r="H2" s="1">
        <v>42</v>
      </c>
      <c r="I2" s="1">
        <v>6</v>
      </c>
      <c r="J2" s="1" t="s">
        <v>15</v>
      </c>
      <c r="K2" s="1" t="s">
        <v>16</v>
      </c>
      <c r="L2" s="1">
        <f>VALUE(_xlfn.TEXTBEFORE(K2,"/"))</f>
        <v>126</v>
      </c>
      <c r="M2" s="3">
        <f>VALUE(_xlfn.TEXTAFTER(K2,"/"))</f>
        <v>83</v>
      </c>
      <c r="N2" s="1">
        <v>77</v>
      </c>
      <c r="O2" s="1">
        <v>4200</v>
      </c>
      <c r="P2" s="1" t="s">
        <v>17</v>
      </c>
    </row>
    <row r="3" spans="1:16" ht="16.5">
      <c r="A3" s="1">
        <v>2</v>
      </c>
      <c r="B3" s="1" t="s">
        <v>13</v>
      </c>
      <c r="C3" s="1">
        <v>28</v>
      </c>
      <c r="D3" s="2" t="str" cm="1">
        <f t="array" ref="D3">_xlfn.IFS(C3&lt;35, "young", C3&lt;50, "middle age", C3&gt;=50, "old")</f>
        <v>young</v>
      </c>
      <c r="E3" s="1" t="s">
        <v>18</v>
      </c>
      <c r="F3" s="1">
        <v>6.2</v>
      </c>
      <c r="G3" s="1">
        <v>6</v>
      </c>
      <c r="H3" s="1">
        <v>60</v>
      </c>
      <c r="I3" s="1">
        <v>8</v>
      </c>
      <c r="J3" s="1" t="s">
        <v>19</v>
      </c>
      <c r="K3" s="1" t="s">
        <v>20</v>
      </c>
      <c r="L3" s="1">
        <f t="shared" ref="L3:L66" si="0">VALUE(_xlfn.TEXTBEFORE(K3,"/"))</f>
        <v>125</v>
      </c>
      <c r="M3" s="3">
        <f t="shared" ref="M3:M66" si="1">VALUE(_xlfn.TEXTAFTER(K3,"/"))</f>
        <v>80</v>
      </c>
      <c r="N3" s="1">
        <v>75</v>
      </c>
      <c r="O3" s="1">
        <v>10000</v>
      </c>
      <c r="P3" s="1" t="s">
        <v>17</v>
      </c>
    </row>
    <row r="4" spans="1:16" ht="16.5">
      <c r="A4" s="1">
        <v>3</v>
      </c>
      <c r="B4" s="1" t="s">
        <v>13</v>
      </c>
      <c r="C4" s="1">
        <v>28</v>
      </c>
      <c r="D4" s="2" t="str" cm="1">
        <f t="array" ref="D4">_xlfn.IFS(C4&lt;35, "young", C4&lt;50, "middle age", C4&gt;=50, "old")</f>
        <v>young</v>
      </c>
      <c r="E4" s="1" t="s">
        <v>18</v>
      </c>
      <c r="F4" s="1">
        <v>6.2</v>
      </c>
      <c r="G4" s="1">
        <v>6</v>
      </c>
      <c r="H4" s="1">
        <v>60</v>
      </c>
      <c r="I4" s="1">
        <v>8</v>
      </c>
      <c r="J4" s="1" t="s">
        <v>19</v>
      </c>
      <c r="K4" s="1" t="s">
        <v>20</v>
      </c>
      <c r="L4" s="1">
        <f t="shared" si="0"/>
        <v>125</v>
      </c>
      <c r="M4" s="3">
        <f t="shared" si="1"/>
        <v>80</v>
      </c>
      <c r="N4" s="1">
        <v>75</v>
      </c>
      <c r="O4" s="1">
        <v>10000</v>
      </c>
      <c r="P4" s="1" t="s">
        <v>17</v>
      </c>
    </row>
    <row r="5" spans="1:16" ht="16.5">
      <c r="A5" s="1">
        <v>4</v>
      </c>
      <c r="B5" s="1" t="s">
        <v>13</v>
      </c>
      <c r="C5" s="1">
        <v>28</v>
      </c>
      <c r="D5" s="2" t="str" cm="1">
        <f t="array" ref="D5">_xlfn.IFS(C5&lt;35, "young", C5&lt;50, "middle age", C5&gt;=50, "old")</f>
        <v>young</v>
      </c>
      <c r="E5" s="1" t="s">
        <v>21</v>
      </c>
      <c r="F5" s="1">
        <v>5.9</v>
      </c>
      <c r="G5" s="1">
        <v>4</v>
      </c>
      <c r="H5" s="1">
        <v>30</v>
      </c>
      <c r="I5" s="1">
        <v>8</v>
      </c>
      <c r="J5" s="1" t="s">
        <v>22</v>
      </c>
      <c r="K5" s="1" t="s">
        <v>23</v>
      </c>
      <c r="L5" s="1">
        <f t="shared" si="0"/>
        <v>140</v>
      </c>
      <c r="M5" s="3">
        <f t="shared" si="1"/>
        <v>90</v>
      </c>
      <c r="N5" s="1">
        <v>85</v>
      </c>
      <c r="O5" s="1">
        <v>3000</v>
      </c>
      <c r="P5" s="1" t="s">
        <v>24</v>
      </c>
    </row>
    <row r="6" spans="1:16" ht="16.5">
      <c r="A6" s="1">
        <v>5</v>
      </c>
      <c r="B6" s="1" t="s">
        <v>13</v>
      </c>
      <c r="C6" s="1">
        <v>28</v>
      </c>
      <c r="D6" s="2" t="str" cm="1">
        <f t="array" ref="D6">_xlfn.IFS(C6&lt;35, "young", C6&lt;50, "middle age", C6&gt;=50, "old")</f>
        <v>young</v>
      </c>
      <c r="E6" s="1" t="s">
        <v>21</v>
      </c>
      <c r="F6" s="1">
        <v>5.9</v>
      </c>
      <c r="G6" s="1">
        <v>4</v>
      </c>
      <c r="H6" s="1">
        <v>30</v>
      </c>
      <c r="I6" s="1">
        <v>8</v>
      </c>
      <c r="J6" s="1" t="s">
        <v>22</v>
      </c>
      <c r="K6" s="1" t="s">
        <v>23</v>
      </c>
      <c r="L6" s="1">
        <f t="shared" si="0"/>
        <v>140</v>
      </c>
      <c r="M6" s="3">
        <f t="shared" si="1"/>
        <v>90</v>
      </c>
      <c r="N6" s="1">
        <v>85</v>
      </c>
      <c r="O6" s="1">
        <v>3000</v>
      </c>
      <c r="P6" s="1" t="s">
        <v>24</v>
      </c>
    </row>
    <row r="7" spans="1:16" ht="16.5">
      <c r="A7" s="1">
        <v>6</v>
      </c>
      <c r="B7" s="1" t="s">
        <v>13</v>
      </c>
      <c r="C7" s="1">
        <v>28</v>
      </c>
      <c r="D7" s="2" t="str" cm="1">
        <f t="array" ref="D7">_xlfn.IFS(C7&lt;35, "young", C7&lt;50, "middle age", C7&gt;=50, "old")</f>
        <v>young</v>
      </c>
      <c r="E7" s="1" t="s">
        <v>14</v>
      </c>
      <c r="F7" s="1">
        <v>5.9</v>
      </c>
      <c r="G7" s="1">
        <v>4</v>
      </c>
      <c r="H7" s="1">
        <v>30</v>
      </c>
      <c r="I7" s="1">
        <v>8</v>
      </c>
      <c r="J7" s="1" t="s">
        <v>22</v>
      </c>
      <c r="K7" s="1" t="s">
        <v>23</v>
      </c>
      <c r="L7" s="1">
        <f t="shared" si="0"/>
        <v>140</v>
      </c>
      <c r="M7" s="3">
        <f t="shared" si="1"/>
        <v>90</v>
      </c>
      <c r="N7" s="1">
        <v>85</v>
      </c>
      <c r="O7" s="1">
        <v>3000</v>
      </c>
      <c r="P7" s="1" t="s">
        <v>25</v>
      </c>
    </row>
    <row r="8" spans="1:16" ht="16.5">
      <c r="A8" s="1">
        <v>7</v>
      </c>
      <c r="B8" s="1" t="s">
        <v>13</v>
      </c>
      <c r="C8" s="1">
        <v>29</v>
      </c>
      <c r="D8" s="2" t="str" cm="1">
        <f t="array" ref="D8">_xlfn.IFS(C8&lt;35, "young", C8&lt;50, "middle age", C8&gt;=50, "old")</f>
        <v>young</v>
      </c>
      <c r="E8" s="1" t="s">
        <v>26</v>
      </c>
      <c r="F8" s="1">
        <v>6.3</v>
      </c>
      <c r="G8" s="1">
        <v>6</v>
      </c>
      <c r="H8" s="1">
        <v>40</v>
      </c>
      <c r="I8" s="1">
        <v>7</v>
      </c>
      <c r="J8" s="1" t="s">
        <v>22</v>
      </c>
      <c r="K8" s="1" t="s">
        <v>23</v>
      </c>
      <c r="L8" s="1">
        <f t="shared" si="0"/>
        <v>140</v>
      </c>
      <c r="M8" s="3">
        <f t="shared" si="1"/>
        <v>90</v>
      </c>
      <c r="N8" s="1">
        <v>82</v>
      </c>
      <c r="O8" s="1">
        <v>3500</v>
      </c>
      <c r="P8" s="1" t="s">
        <v>25</v>
      </c>
    </row>
    <row r="9" spans="1:16" ht="16.5">
      <c r="A9" s="1">
        <v>8</v>
      </c>
      <c r="B9" s="1" t="s">
        <v>13</v>
      </c>
      <c r="C9" s="1">
        <v>29</v>
      </c>
      <c r="D9" s="2" t="str" cm="1">
        <f t="array" ref="D9">_xlfn.IFS(C9&lt;35, "young", C9&lt;50, "middle age", C9&gt;=50, "old")</f>
        <v>young</v>
      </c>
      <c r="E9" s="1" t="s">
        <v>18</v>
      </c>
      <c r="F9" s="1">
        <v>7.8</v>
      </c>
      <c r="G9" s="1">
        <v>7</v>
      </c>
      <c r="H9" s="1">
        <v>75</v>
      </c>
      <c r="I9" s="1">
        <v>6</v>
      </c>
      <c r="J9" s="1" t="s">
        <v>19</v>
      </c>
      <c r="K9" s="1" t="s">
        <v>27</v>
      </c>
      <c r="L9" s="1">
        <f t="shared" si="0"/>
        <v>120</v>
      </c>
      <c r="M9" s="3">
        <f t="shared" si="1"/>
        <v>80</v>
      </c>
      <c r="N9" s="1">
        <v>70</v>
      </c>
      <c r="O9" s="1">
        <v>8000</v>
      </c>
      <c r="P9" s="1" t="s">
        <v>17</v>
      </c>
    </row>
    <row r="10" spans="1:16" ht="16.5">
      <c r="A10" s="1">
        <v>9</v>
      </c>
      <c r="B10" s="1" t="s">
        <v>13</v>
      </c>
      <c r="C10" s="1">
        <v>29</v>
      </c>
      <c r="D10" s="2" t="str" cm="1">
        <f t="array" ref="D10">_xlfn.IFS(C10&lt;35, "young", C10&lt;50, "middle age", C10&gt;=50, "old")</f>
        <v>young</v>
      </c>
      <c r="E10" s="1" t="s">
        <v>18</v>
      </c>
      <c r="F10" s="1">
        <v>7.8</v>
      </c>
      <c r="G10" s="1">
        <v>7</v>
      </c>
      <c r="H10" s="1">
        <v>75</v>
      </c>
      <c r="I10" s="1">
        <v>6</v>
      </c>
      <c r="J10" s="1" t="s">
        <v>19</v>
      </c>
      <c r="K10" s="1" t="s">
        <v>27</v>
      </c>
      <c r="L10" s="1">
        <f t="shared" si="0"/>
        <v>120</v>
      </c>
      <c r="M10" s="3">
        <f t="shared" si="1"/>
        <v>80</v>
      </c>
      <c r="N10" s="1">
        <v>70</v>
      </c>
      <c r="O10" s="1">
        <v>8000</v>
      </c>
      <c r="P10" s="1" t="s">
        <v>17</v>
      </c>
    </row>
    <row r="11" spans="1:16" ht="16.5">
      <c r="A11" s="1">
        <v>10</v>
      </c>
      <c r="B11" s="1" t="s">
        <v>13</v>
      </c>
      <c r="C11" s="1">
        <v>29</v>
      </c>
      <c r="D11" s="2" t="str" cm="1">
        <f t="array" ref="D11">_xlfn.IFS(C11&lt;35, "young", C11&lt;50, "middle age", C11&gt;=50, "old")</f>
        <v>young</v>
      </c>
      <c r="E11" s="1" t="s">
        <v>18</v>
      </c>
      <c r="F11" s="1">
        <v>7.8</v>
      </c>
      <c r="G11" s="1">
        <v>7</v>
      </c>
      <c r="H11" s="1">
        <v>75</v>
      </c>
      <c r="I11" s="1">
        <v>6</v>
      </c>
      <c r="J11" s="1" t="s">
        <v>19</v>
      </c>
      <c r="K11" s="1" t="s">
        <v>27</v>
      </c>
      <c r="L11" s="1">
        <f t="shared" si="0"/>
        <v>120</v>
      </c>
      <c r="M11" s="3">
        <f t="shared" si="1"/>
        <v>80</v>
      </c>
      <c r="N11" s="1">
        <v>70</v>
      </c>
      <c r="O11" s="1">
        <v>8000</v>
      </c>
      <c r="P11" s="1" t="s">
        <v>17</v>
      </c>
    </row>
    <row r="12" spans="1:16" ht="16.5">
      <c r="A12" s="1">
        <v>11</v>
      </c>
      <c r="B12" s="1" t="s">
        <v>13</v>
      </c>
      <c r="C12" s="1">
        <v>29</v>
      </c>
      <c r="D12" s="2" t="str" cm="1">
        <f t="array" ref="D12">_xlfn.IFS(C12&lt;35, "young", C12&lt;50, "middle age", C12&gt;=50, "old")</f>
        <v>young</v>
      </c>
      <c r="E12" s="1" t="s">
        <v>18</v>
      </c>
      <c r="F12" s="1">
        <v>6.1</v>
      </c>
      <c r="G12" s="1">
        <v>6</v>
      </c>
      <c r="H12" s="1">
        <v>30</v>
      </c>
      <c r="I12" s="1">
        <v>8</v>
      </c>
      <c r="J12" s="1" t="s">
        <v>19</v>
      </c>
      <c r="K12" s="1" t="s">
        <v>27</v>
      </c>
      <c r="L12" s="1">
        <f t="shared" si="0"/>
        <v>120</v>
      </c>
      <c r="M12" s="3">
        <f t="shared" si="1"/>
        <v>80</v>
      </c>
      <c r="N12" s="1">
        <v>70</v>
      </c>
      <c r="O12" s="1">
        <v>8000</v>
      </c>
      <c r="P12" s="1" t="s">
        <v>17</v>
      </c>
    </row>
    <row r="13" spans="1:16" ht="16.5">
      <c r="A13" s="1">
        <v>12</v>
      </c>
      <c r="B13" s="1" t="s">
        <v>13</v>
      </c>
      <c r="C13" s="1">
        <v>29</v>
      </c>
      <c r="D13" s="2" t="str" cm="1">
        <f t="array" ref="D13">_xlfn.IFS(C13&lt;35, "young", C13&lt;50, "middle age", C13&gt;=50, "old")</f>
        <v>young</v>
      </c>
      <c r="E13" s="1" t="s">
        <v>18</v>
      </c>
      <c r="F13" s="1">
        <v>7.8</v>
      </c>
      <c r="G13" s="1">
        <v>7</v>
      </c>
      <c r="H13" s="1">
        <v>75</v>
      </c>
      <c r="I13" s="1">
        <v>6</v>
      </c>
      <c r="J13" s="1" t="s">
        <v>19</v>
      </c>
      <c r="K13" s="1" t="s">
        <v>27</v>
      </c>
      <c r="L13" s="1">
        <f t="shared" si="0"/>
        <v>120</v>
      </c>
      <c r="M13" s="3">
        <f t="shared" si="1"/>
        <v>80</v>
      </c>
      <c r="N13" s="1">
        <v>70</v>
      </c>
      <c r="O13" s="1">
        <v>8000</v>
      </c>
      <c r="P13" s="1" t="s">
        <v>17</v>
      </c>
    </row>
    <row r="14" spans="1:16" ht="16.5">
      <c r="A14" s="1">
        <v>13</v>
      </c>
      <c r="B14" s="1" t="s">
        <v>13</v>
      </c>
      <c r="C14" s="1">
        <v>29</v>
      </c>
      <c r="D14" s="2" t="str" cm="1">
        <f t="array" ref="D14">_xlfn.IFS(C14&lt;35, "young", C14&lt;50, "middle age", C14&gt;=50, "old")</f>
        <v>young</v>
      </c>
      <c r="E14" s="1" t="s">
        <v>18</v>
      </c>
      <c r="F14" s="1">
        <v>6.1</v>
      </c>
      <c r="G14" s="1">
        <v>6</v>
      </c>
      <c r="H14" s="1">
        <v>30</v>
      </c>
      <c r="I14" s="1">
        <v>8</v>
      </c>
      <c r="J14" s="1" t="s">
        <v>19</v>
      </c>
      <c r="K14" s="1" t="s">
        <v>27</v>
      </c>
      <c r="L14" s="1">
        <f t="shared" si="0"/>
        <v>120</v>
      </c>
      <c r="M14" s="3">
        <f t="shared" si="1"/>
        <v>80</v>
      </c>
      <c r="N14" s="1">
        <v>70</v>
      </c>
      <c r="O14" s="1">
        <v>8000</v>
      </c>
      <c r="P14" s="1" t="s">
        <v>17</v>
      </c>
    </row>
    <row r="15" spans="1:16" ht="16.5">
      <c r="A15" s="1">
        <v>14</v>
      </c>
      <c r="B15" s="1" t="s">
        <v>13</v>
      </c>
      <c r="C15" s="1">
        <v>29</v>
      </c>
      <c r="D15" s="2" t="str" cm="1">
        <f t="array" ref="D15">_xlfn.IFS(C15&lt;35, "young", C15&lt;50, "middle age", C15&gt;=50, "old")</f>
        <v>young</v>
      </c>
      <c r="E15" s="1" t="s">
        <v>18</v>
      </c>
      <c r="F15" s="1">
        <v>6</v>
      </c>
      <c r="G15" s="1">
        <v>6</v>
      </c>
      <c r="H15" s="1">
        <v>30</v>
      </c>
      <c r="I15" s="1">
        <v>8</v>
      </c>
      <c r="J15" s="1" t="s">
        <v>19</v>
      </c>
      <c r="K15" s="1" t="s">
        <v>27</v>
      </c>
      <c r="L15" s="1">
        <f t="shared" si="0"/>
        <v>120</v>
      </c>
      <c r="M15" s="3">
        <f t="shared" si="1"/>
        <v>80</v>
      </c>
      <c r="N15" s="1">
        <v>70</v>
      </c>
      <c r="O15" s="1">
        <v>8000</v>
      </c>
      <c r="P15" s="1" t="s">
        <v>17</v>
      </c>
    </row>
    <row r="16" spans="1:16" ht="16.5">
      <c r="A16" s="1">
        <v>15</v>
      </c>
      <c r="B16" s="1" t="s">
        <v>13</v>
      </c>
      <c r="C16" s="1">
        <v>29</v>
      </c>
      <c r="D16" s="2" t="str" cm="1">
        <f t="array" ref="D16">_xlfn.IFS(C16&lt;35, "young", C16&lt;50, "middle age", C16&gt;=50, "old")</f>
        <v>young</v>
      </c>
      <c r="E16" s="1" t="s">
        <v>18</v>
      </c>
      <c r="F16" s="1">
        <v>6</v>
      </c>
      <c r="G16" s="1">
        <v>6</v>
      </c>
      <c r="H16" s="1">
        <v>30</v>
      </c>
      <c r="I16" s="1">
        <v>8</v>
      </c>
      <c r="J16" s="1" t="s">
        <v>19</v>
      </c>
      <c r="K16" s="1" t="s">
        <v>27</v>
      </c>
      <c r="L16" s="1">
        <f t="shared" si="0"/>
        <v>120</v>
      </c>
      <c r="M16" s="3">
        <f t="shared" si="1"/>
        <v>80</v>
      </c>
      <c r="N16" s="1">
        <v>70</v>
      </c>
      <c r="O16" s="1">
        <v>8000</v>
      </c>
      <c r="P16" s="1" t="s">
        <v>17</v>
      </c>
    </row>
    <row r="17" spans="1:16" ht="16.5">
      <c r="A17" s="1">
        <v>16</v>
      </c>
      <c r="B17" s="1" t="s">
        <v>13</v>
      </c>
      <c r="C17" s="1">
        <v>29</v>
      </c>
      <c r="D17" s="2" t="str" cm="1">
        <f t="array" ref="D17">_xlfn.IFS(C17&lt;35, "young", C17&lt;50, "middle age", C17&gt;=50, "old")</f>
        <v>young</v>
      </c>
      <c r="E17" s="1" t="s">
        <v>18</v>
      </c>
      <c r="F17" s="1">
        <v>6</v>
      </c>
      <c r="G17" s="1">
        <v>6</v>
      </c>
      <c r="H17" s="1">
        <v>30</v>
      </c>
      <c r="I17" s="1">
        <v>8</v>
      </c>
      <c r="J17" s="1" t="s">
        <v>19</v>
      </c>
      <c r="K17" s="1" t="s">
        <v>27</v>
      </c>
      <c r="L17" s="1">
        <f t="shared" si="0"/>
        <v>120</v>
      </c>
      <c r="M17" s="3">
        <f t="shared" si="1"/>
        <v>80</v>
      </c>
      <c r="N17" s="1">
        <v>70</v>
      </c>
      <c r="O17" s="1">
        <v>8000</v>
      </c>
      <c r="P17" s="1" t="s">
        <v>17</v>
      </c>
    </row>
    <row r="18" spans="1:16" ht="16.5">
      <c r="A18" s="1">
        <v>17</v>
      </c>
      <c r="B18" s="1" t="s">
        <v>28</v>
      </c>
      <c r="C18" s="1">
        <v>29</v>
      </c>
      <c r="D18" s="2" t="str" cm="1">
        <f t="array" ref="D18">_xlfn.IFS(C18&lt;35, "young", C18&lt;50, "middle age", C18&gt;=50, "old")</f>
        <v>young</v>
      </c>
      <c r="E18" s="1" t="s">
        <v>29</v>
      </c>
      <c r="F18" s="1">
        <v>6.5</v>
      </c>
      <c r="G18" s="1">
        <v>5</v>
      </c>
      <c r="H18" s="1">
        <v>40</v>
      </c>
      <c r="I18" s="1">
        <v>7</v>
      </c>
      <c r="J18" s="1" t="s">
        <v>19</v>
      </c>
      <c r="K18" s="1" t="s">
        <v>30</v>
      </c>
      <c r="L18" s="1">
        <f t="shared" si="0"/>
        <v>132</v>
      </c>
      <c r="M18" s="3">
        <f t="shared" si="1"/>
        <v>87</v>
      </c>
      <c r="N18" s="1">
        <v>80</v>
      </c>
      <c r="O18" s="1">
        <v>4000</v>
      </c>
      <c r="P18" s="1" t="s">
        <v>24</v>
      </c>
    </row>
    <row r="19" spans="1:16" ht="16.5">
      <c r="A19" s="1">
        <v>18</v>
      </c>
      <c r="B19" s="1" t="s">
        <v>13</v>
      </c>
      <c r="C19" s="1">
        <v>29</v>
      </c>
      <c r="D19" s="2" t="str" cm="1">
        <f t="array" ref="D19">_xlfn.IFS(C19&lt;35, "young", C19&lt;50, "middle age", C19&gt;=50, "old")</f>
        <v>young</v>
      </c>
      <c r="E19" s="1" t="s">
        <v>18</v>
      </c>
      <c r="F19" s="1">
        <v>6</v>
      </c>
      <c r="G19" s="1">
        <v>6</v>
      </c>
      <c r="H19" s="1">
        <v>30</v>
      </c>
      <c r="I19" s="1">
        <v>8</v>
      </c>
      <c r="J19" s="1" t="s">
        <v>19</v>
      </c>
      <c r="K19" s="1" t="s">
        <v>27</v>
      </c>
      <c r="L19" s="1">
        <f t="shared" si="0"/>
        <v>120</v>
      </c>
      <c r="M19" s="3">
        <f t="shared" si="1"/>
        <v>80</v>
      </c>
      <c r="N19" s="1">
        <v>70</v>
      </c>
      <c r="O19" s="1">
        <v>8000</v>
      </c>
      <c r="P19" s="1" t="s">
        <v>24</v>
      </c>
    </row>
    <row r="20" spans="1:16" ht="16.5">
      <c r="A20" s="1">
        <v>19</v>
      </c>
      <c r="B20" s="1" t="s">
        <v>28</v>
      </c>
      <c r="C20" s="1">
        <v>29</v>
      </c>
      <c r="D20" s="2" t="str" cm="1">
        <f t="array" ref="D20">_xlfn.IFS(C20&lt;35, "young", C20&lt;50, "middle age", C20&gt;=50, "old")</f>
        <v>young</v>
      </c>
      <c r="E20" s="1" t="s">
        <v>29</v>
      </c>
      <c r="F20" s="1">
        <v>6.5</v>
      </c>
      <c r="G20" s="1">
        <v>5</v>
      </c>
      <c r="H20" s="1">
        <v>40</v>
      </c>
      <c r="I20" s="1">
        <v>7</v>
      </c>
      <c r="J20" s="1" t="s">
        <v>19</v>
      </c>
      <c r="K20" s="1" t="s">
        <v>30</v>
      </c>
      <c r="L20" s="1">
        <f t="shared" si="0"/>
        <v>132</v>
      </c>
      <c r="M20" s="3">
        <f t="shared" si="1"/>
        <v>87</v>
      </c>
      <c r="N20" s="1">
        <v>80</v>
      </c>
      <c r="O20" s="1">
        <v>4000</v>
      </c>
      <c r="P20" s="1" t="s">
        <v>25</v>
      </c>
    </row>
    <row r="21" spans="1:16" ht="16.5">
      <c r="A21" s="1">
        <v>20</v>
      </c>
      <c r="B21" s="1" t="s">
        <v>13</v>
      </c>
      <c r="C21" s="1">
        <v>30</v>
      </c>
      <c r="D21" s="2" t="str" cm="1">
        <f t="array" ref="D21">_xlfn.IFS(C21&lt;35, "young", C21&lt;50, "middle age", C21&gt;=50, "old")</f>
        <v>young</v>
      </c>
      <c r="E21" s="1" t="s">
        <v>18</v>
      </c>
      <c r="F21" s="1">
        <v>7.6</v>
      </c>
      <c r="G21" s="1">
        <v>7</v>
      </c>
      <c r="H21" s="1">
        <v>75</v>
      </c>
      <c r="I21" s="1">
        <v>6</v>
      </c>
      <c r="J21" s="1" t="s">
        <v>19</v>
      </c>
      <c r="K21" s="1" t="s">
        <v>27</v>
      </c>
      <c r="L21" s="1">
        <f t="shared" si="0"/>
        <v>120</v>
      </c>
      <c r="M21" s="3">
        <f t="shared" si="1"/>
        <v>80</v>
      </c>
      <c r="N21" s="1">
        <v>70</v>
      </c>
      <c r="O21" s="1">
        <v>8000</v>
      </c>
      <c r="P21" s="1" t="s">
        <v>17</v>
      </c>
    </row>
    <row r="22" spans="1:16" ht="16.5">
      <c r="A22" s="1">
        <v>21</v>
      </c>
      <c r="B22" s="1" t="s">
        <v>13</v>
      </c>
      <c r="C22" s="1">
        <v>30</v>
      </c>
      <c r="D22" s="2" t="str" cm="1">
        <f t="array" ref="D22">_xlfn.IFS(C22&lt;35, "young", C22&lt;50, "middle age", C22&gt;=50, "old")</f>
        <v>young</v>
      </c>
      <c r="E22" s="1" t="s">
        <v>18</v>
      </c>
      <c r="F22" s="1">
        <v>7.7</v>
      </c>
      <c r="G22" s="1">
        <v>7</v>
      </c>
      <c r="H22" s="1">
        <v>75</v>
      </c>
      <c r="I22" s="1">
        <v>6</v>
      </c>
      <c r="J22" s="1" t="s">
        <v>19</v>
      </c>
      <c r="K22" s="1" t="s">
        <v>27</v>
      </c>
      <c r="L22" s="1">
        <f t="shared" si="0"/>
        <v>120</v>
      </c>
      <c r="M22" s="3">
        <f t="shared" si="1"/>
        <v>80</v>
      </c>
      <c r="N22" s="1">
        <v>70</v>
      </c>
      <c r="O22" s="1">
        <v>8000</v>
      </c>
      <c r="P22" s="1" t="s">
        <v>17</v>
      </c>
    </row>
    <row r="23" spans="1:16" ht="16.5">
      <c r="A23" s="1">
        <v>22</v>
      </c>
      <c r="B23" s="1" t="s">
        <v>13</v>
      </c>
      <c r="C23" s="1">
        <v>30</v>
      </c>
      <c r="D23" s="2" t="str" cm="1">
        <f t="array" ref="D23">_xlfn.IFS(C23&lt;35, "young", C23&lt;50, "middle age", C23&gt;=50, "old")</f>
        <v>young</v>
      </c>
      <c r="E23" s="1" t="s">
        <v>18</v>
      </c>
      <c r="F23" s="1">
        <v>7.7</v>
      </c>
      <c r="G23" s="1">
        <v>7</v>
      </c>
      <c r="H23" s="1">
        <v>75</v>
      </c>
      <c r="I23" s="1">
        <v>6</v>
      </c>
      <c r="J23" s="1" t="s">
        <v>19</v>
      </c>
      <c r="K23" s="1" t="s">
        <v>27</v>
      </c>
      <c r="L23" s="1">
        <f t="shared" si="0"/>
        <v>120</v>
      </c>
      <c r="M23" s="3">
        <f t="shared" si="1"/>
        <v>80</v>
      </c>
      <c r="N23" s="1">
        <v>70</v>
      </c>
      <c r="O23" s="1">
        <v>8000</v>
      </c>
      <c r="P23" s="1" t="s">
        <v>17</v>
      </c>
    </row>
    <row r="24" spans="1:16" ht="16.5">
      <c r="A24" s="1">
        <v>23</v>
      </c>
      <c r="B24" s="1" t="s">
        <v>13</v>
      </c>
      <c r="C24" s="1">
        <v>30</v>
      </c>
      <c r="D24" s="2" t="str" cm="1">
        <f t="array" ref="D24">_xlfn.IFS(C24&lt;35, "young", C24&lt;50, "middle age", C24&gt;=50, "old")</f>
        <v>young</v>
      </c>
      <c r="E24" s="1" t="s">
        <v>18</v>
      </c>
      <c r="F24" s="1">
        <v>7.7</v>
      </c>
      <c r="G24" s="1">
        <v>7</v>
      </c>
      <c r="H24" s="1">
        <v>75</v>
      </c>
      <c r="I24" s="1">
        <v>6</v>
      </c>
      <c r="J24" s="1" t="s">
        <v>19</v>
      </c>
      <c r="K24" s="1" t="s">
        <v>27</v>
      </c>
      <c r="L24" s="1">
        <f t="shared" si="0"/>
        <v>120</v>
      </c>
      <c r="M24" s="3">
        <f t="shared" si="1"/>
        <v>80</v>
      </c>
      <c r="N24" s="1">
        <v>70</v>
      </c>
      <c r="O24" s="1">
        <v>8000</v>
      </c>
      <c r="P24" s="1" t="s">
        <v>17</v>
      </c>
    </row>
    <row r="25" spans="1:16" ht="16.5">
      <c r="A25" s="1">
        <v>24</v>
      </c>
      <c r="B25" s="1" t="s">
        <v>13</v>
      </c>
      <c r="C25" s="1">
        <v>30</v>
      </c>
      <c r="D25" s="2" t="str" cm="1">
        <f t="array" ref="D25">_xlfn.IFS(C25&lt;35, "young", C25&lt;50, "middle age", C25&gt;=50, "old")</f>
        <v>young</v>
      </c>
      <c r="E25" s="1" t="s">
        <v>18</v>
      </c>
      <c r="F25" s="1">
        <v>7.7</v>
      </c>
      <c r="G25" s="1">
        <v>7</v>
      </c>
      <c r="H25" s="1">
        <v>75</v>
      </c>
      <c r="I25" s="1">
        <v>6</v>
      </c>
      <c r="J25" s="1" t="s">
        <v>19</v>
      </c>
      <c r="K25" s="1" t="s">
        <v>27</v>
      </c>
      <c r="L25" s="1">
        <f t="shared" si="0"/>
        <v>120</v>
      </c>
      <c r="M25" s="3">
        <f t="shared" si="1"/>
        <v>80</v>
      </c>
      <c r="N25" s="1">
        <v>70</v>
      </c>
      <c r="O25" s="1">
        <v>8000</v>
      </c>
      <c r="P25" s="1" t="s">
        <v>17</v>
      </c>
    </row>
    <row r="26" spans="1:16" ht="16.5">
      <c r="A26" s="1">
        <v>25</v>
      </c>
      <c r="B26" s="1" t="s">
        <v>13</v>
      </c>
      <c r="C26" s="1">
        <v>30</v>
      </c>
      <c r="D26" s="2" t="str" cm="1">
        <f t="array" ref="D26">_xlfn.IFS(C26&lt;35, "young", C26&lt;50, "middle age", C26&gt;=50, "old")</f>
        <v>young</v>
      </c>
      <c r="E26" s="1" t="s">
        <v>18</v>
      </c>
      <c r="F26" s="1">
        <v>7.8</v>
      </c>
      <c r="G26" s="1">
        <v>7</v>
      </c>
      <c r="H26" s="1">
        <v>75</v>
      </c>
      <c r="I26" s="1">
        <v>6</v>
      </c>
      <c r="J26" s="1" t="s">
        <v>19</v>
      </c>
      <c r="K26" s="1" t="s">
        <v>27</v>
      </c>
      <c r="L26" s="1">
        <f t="shared" si="0"/>
        <v>120</v>
      </c>
      <c r="M26" s="3">
        <f t="shared" si="1"/>
        <v>80</v>
      </c>
      <c r="N26" s="1">
        <v>70</v>
      </c>
      <c r="O26" s="1">
        <v>8000</v>
      </c>
      <c r="P26" s="1" t="s">
        <v>17</v>
      </c>
    </row>
    <row r="27" spans="1:16" ht="16.5">
      <c r="A27" s="1">
        <v>26</v>
      </c>
      <c r="B27" s="1" t="s">
        <v>13</v>
      </c>
      <c r="C27" s="1">
        <v>30</v>
      </c>
      <c r="D27" s="2" t="str" cm="1">
        <f t="array" ref="D27">_xlfn.IFS(C27&lt;35, "young", C27&lt;50, "middle age", C27&gt;=50, "old")</f>
        <v>young</v>
      </c>
      <c r="E27" s="1" t="s">
        <v>18</v>
      </c>
      <c r="F27" s="1">
        <v>7.9</v>
      </c>
      <c r="G27" s="1">
        <v>7</v>
      </c>
      <c r="H27" s="1">
        <v>75</v>
      </c>
      <c r="I27" s="1">
        <v>6</v>
      </c>
      <c r="J27" s="1" t="s">
        <v>19</v>
      </c>
      <c r="K27" s="1" t="s">
        <v>27</v>
      </c>
      <c r="L27" s="1">
        <f t="shared" si="0"/>
        <v>120</v>
      </c>
      <c r="M27" s="3">
        <f t="shared" si="1"/>
        <v>80</v>
      </c>
      <c r="N27" s="1">
        <v>70</v>
      </c>
      <c r="O27" s="1">
        <v>8000</v>
      </c>
      <c r="P27" s="1" t="s">
        <v>17</v>
      </c>
    </row>
    <row r="28" spans="1:16" ht="16.5">
      <c r="A28" s="1">
        <v>27</v>
      </c>
      <c r="B28" s="1" t="s">
        <v>13</v>
      </c>
      <c r="C28" s="1">
        <v>30</v>
      </c>
      <c r="D28" s="2" t="str" cm="1">
        <f t="array" ref="D28">_xlfn.IFS(C28&lt;35, "young", C28&lt;50, "middle age", C28&gt;=50, "old")</f>
        <v>young</v>
      </c>
      <c r="E28" s="1" t="s">
        <v>18</v>
      </c>
      <c r="F28" s="1">
        <v>7.8</v>
      </c>
      <c r="G28" s="1">
        <v>7</v>
      </c>
      <c r="H28" s="1">
        <v>75</v>
      </c>
      <c r="I28" s="1">
        <v>6</v>
      </c>
      <c r="J28" s="1" t="s">
        <v>19</v>
      </c>
      <c r="K28" s="1" t="s">
        <v>27</v>
      </c>
      <c r="L28" s="1">
        <f t="shared" si="0"/>
        <v>120</v>
      </c>
      <c r="M28" s="3">
        <f t="shared" si="1"/>
        <v>80</v>
      </c>
      <c r="N28" s="1">
        <v>70</v>
      </c>
      <c r="O28" s="1">
        <v>8000</v>
      </c>
      <c r="P28" s="1" t="s">
        <v>17</v>
      </c>
    </row>
    <row r="29" spans="1:16" ht="16.5">
      <c r="A29" s="1">
        <v>28</v>
      </c>
      <c r="B29" s="1" t="s">
        <v>13</v>
      </c>
      <c r="C29" s="1">
        <v>30</v>
      </c>
      <c r="D29" s="2" t="str" cm="1">
        <f t="array" ref="D29">_xlfn.IFS(C29&lt;35, "young", C29&lt;50, "middle age", C29&gt;=50, "old")</f>
        <v>young</v>
      </c>
      <c r="E29" s="1" t="s">
        <v>18</v>
      </c>
      <c r="F29" s="1">
        <v>7.9</v>
      </c>
      <c r="G29" s="1">
        <v>7</v>
      </c>
      <c r="H29" s="1">
        <v>75</v>
      </c>
      <c r="I29" s="1">
        <v>6</v>
      </c>
      <c r="J29" s="1" t="s">
        <v>19</v>
      </c>
      <c r="K29" s="1" t="s">
        <v>27</v>
      </c>
      <c r="L29" s="1">
        <f t="shared" si="0"/>
        <v>120</v>
      </c>
      <c r="M29" s="3">
        <f t="shared" si="1"/>
        <v>80</v>
      </c>
      <c r="N29" s="1">
        <v>70</v>
      </c>
      <c r="O29" s="1">
        <v>8000</v>
      </c>
      <c r="P29" s="1" t="s">
        <v>17</v>
      </c>
    </row>
    <row r="30" spans="1:16" ht="16.5">
      <c r="A30" s="1">
        <v>29</v>
      </c>
      <c r="B30" s="1" t="s">
        <v>13</v>
      </c>
      <c r="C30" s="1">
        <v>30</v>
      </c>
      <c r="D30" s="2" t="str" cm="1">
        <f t="array" ref="D30">_xlfn.IFS(C30&lt;35, "young", C30&lt;50, "middle age", C30&gt;=50, "old")</f>
        <v>young</v>
      </c>
      <c r="E30" s="1" t="s">
        <v>18</v>
      </c>
      <c r="F30" s="1">
        <v>7.9</v>
      </c>
      <c r="G30" s="1">
        <v>7</v>
      </c>
      <c r="H30" s="1">
        <v>75</v>
      </c>
      <c r="I30" s="1">
        <v>6</v>
      </c>
      <c r="J30" s="1" t="s">
        <v>19</v>
      </c>
      <c r="K30" s="1" t="s">
        <v>27</v>
      </c>
      <c r="L30" s="1">
        <f t="shared" si="0"/>
        <v>120</v>
      </c>
      <c r="M30" s="3">
        <f t="shared" si="1"/>
        <v>80</v>
      </c>
      <c r="N30" s="1">
        <v>70</v>
      </c>
      <c r="O30" s="1">
        <v>8000</v>
      </c>
      <c r="P30" s="1" t="s">
        <v>17</v>
      </c>
    </row>
    <row r="31" spans="1:16" ht="16.5">
      <c r="A31" s="1">
        <v>30</v>
      </c>
      <c r="B31" s="1" t="s">
        <v>13</v>
      </c>
      <c r="C31" s="1">
        <v>30</v>
      </c>
      <c r="D31" s="2" t="str" cm="1">
        <f t="array" ref="D31">_xlfn.IFS(C31&lt;35, "young", C31&lt;50, "middle age", C31&gt;=50, "old")</f>
        <v>young</v>
      </c>
      <c r="E31" s="1" t="s">
        <v>18</v>
      </c>
      <c r="F31" s="1">
        <v>7.9</v>
      </c>
      <c r="G31" s="1">
        <v>7</v>
      </c>
      <c r="H31" s="1">
        <v>75</v>
      </c>
      <c r="I31" s="1">
        <v>6</v>
      </c>
      <c r="J31" s="1" t="s">
        <v>19</v>
      </c>
      <c r="K31" s="1" t="s">
        <v>27</v>
      </c>
      <c r="L31" s="1">
        <f t="shared" si="0"/>
        <v>120</v>
      </c>
      <c r="M31" s="3">
        <f t="shared" si="1"/>
        <v>80</v>
      </c>
      <c r="N31" s="1">
        <v>70</v>
      </c>
      <c r="O31" s="1">
        <v>8000</v>
      </c>
      <c r="P31" s="1" t="s">
        <v>17</v>
      </c>
    </row>
    <row r="32" spans="1:16" ht="16.5">
      <c r="A32" s="1">
        <v>31</v>
      </c>
      <c r="B32" s="1" t="s">
        <v>28</v>
      </c>
      <c r="C32" s="1">
        <v>30</v>
      </c>
      <c r="D32" s="2" t="str" cm="1">
        <f t="array" ref="D32">_xlfn.IFS(C32&lt;35, "young", C32&lt;50, "middle age", C32&gt;=50, "old")</f>
        <v>young</v>
      </c>
      <c r="E32" s="1" t="s">
        <v>29</v>
      </c>
      <c r="F32" s="1">
        <v>6.4</v>
      </c>
      <c r="G32" s="1">
        <v>5</v>
      </c>
      <c r="H32" s="1">
        <v>35</v>
      </c>
      <c r="I32" s="1">
        <v>7</v>
      </c>
      <c r="J32" s="1" t="s">
        <v>19</v>
      </c>
      <c r="K32" s="1" t="s">
        <v>31</v>
      </c>
      <c r="L32" s="1">
        <f t="shared" si="0"/>
        <v>130</v>
      </c>
      <c r="M32" s="3">
        <f t="shared" si="1"/>
        <v>86</v>
      </c>
      <c r="N32" s="1">
        <v>78</v>
      </c>
      <c r="O32" s="1">
        <v>4100</v>
      </c>
      <c r="P32" s="1" t="s">
        <v>24</v>
      </c>
    </row>
    <row r="33" spans="1:16" ht="16.5">
      <c r="A33" s="1">
        <v>32</v>
      </c>
      <c r="B33" s="1" t="s">
        <v>28</v>
      </c>
      <c r="C33" s="1">
        <v>30</v>
      </c>
      <c r="D33" s="2" t="str" cm="1">
        <f t="array" ref="D33">_xlfn.IFS(C33&lt;35, "young", C33&lt;50, "middle age", C33&gt;=50, "old")</f>
        <v>young</v>
      </c>
      <c r="E33" s="1" t="s">
        <v>29</v>
      </c>
      <c r="F33" s="1">
        <v>6.4</v>
      </c>
      <c r="G33" s="1">
        <v>5</v>
      </c>
      <c r="H33" s="1">
        <v>35</v>
      </c>
      <c r="I33" s="1">
        <v>7</v>
      </c>
      <c r="J33" s="1" t="s">
        <v>19</v>
      </c>
      <c r="K33" s="1" t="s">
        <v>31</v>
      </c>
      <c r="L33" s="1">
        <f t="shared" si="0"/>
        <v>130</v>
      </c>
      <c r="M33" s="3">
        <f t="shared" si="1"/>
        <v>86</v>
      </c>
      <c r="N33" s="1">
        <v>78</v>
      </c>
      <c r="O33" s="1">
        <v>4100</v>
      </c>
      <c r="P33" s="1" t="s">
        <v>25</v>
      </c>
    </row>
    <row r="34" spans="1:16" ht="16.5">
      <c r="A34" s="1">
        <v>33</v>
      </c>
      <c r="B34" s="1" t="s">
        <v>28</v>
      </c>
      <c r="C34" s="1">
        <v>31</v>
      </c>
      <c r="D34" s="2" t="str" cm="1">
        <f t="array" ref="D34">_xlfn.IFS(C34&lt;35, "young", C34&lt;50, "middle age", C34&gt;=50, "old")</f>
        <v>young</v>
      </c>
      <c r="E34" s="1" t="s">
        <v>29</v>
      </c>
      <c r="F34" s="1">
        <v>7.9</v>
      </c>
      <c r="G34" s="1">
        <v>8</v>
      </c>
      <c r="H34" s="1">
        <v>75</v>
      </c>
      <c r="I34" s="1">
        <v>4</v>
      </c>
      <c r="J34" s="1" t="s">
        <v>19</v>
      </c>
      <c r="K34" s="1" t="s">
        <v>32</v>
      </c>
      <c r="L34" s="1">
        <f t="shared" si="0"/>
        <v>117</v>
      </c>
      <c r="M34" s="3">
        <f t="shared" si="1"/>
        <v>76</v>
      </c>
      <c r="N34" s="1">
        <v>69</v>
      </c>
      <c r="O34" s="1">
        <v>6800</v>
      </c>
      <c r="P34" s="1" t="s">
        <v>17</v>
      </c>
    </row>
    <row r="35" spans="1:16" ht="16.5">
      <c r="A35" s="1">
        <v>34</v>
      </c>
      <c r="B35" s="1" t="s">
        <v>13</v>
      </c>
      <c r="C35" s="1">
        <v>31</v>
      </c>
      <c r="D35" s="2" t="str" cm="1">
        <f t="array" ref="D35">_xlfn.IFS(C35&lt;35, "young", C35&lt;50, "middle age", C35&gt;=50, "old")</f>
        <v>young</v>
      </c>
      <c r="E35" s="1" t="s">
        <v>18</v>
      </c>
      <c r="F35" s="1">
        <v>6.1</v>
      </c>
      <c r="G35" s="1">
        <v>6</v>
      </c>
      <c r="H35" s="1">
        <v>30</v>
      </c>
      <c r="I35" s="1">
        <v>8</v>
      </c>
      <c r="J35" s="1" t="s">
        <v>19</v>
      </c>
      <c r="K35" s="1" t="s">
        <v>20</v>
      </c>
      <c r="L35" s="1">
        <f t="shared" si="0"/>
        <v>125</v>
      </c>
      <c r="M35" s="3">
        <f t="shared" si="1"/>
        <v>80</v>
      </c>
      <c r="N35" s="1">
        <v>72</v>
      </c>
      <c r="O35" s="1">
        <v>5000</v>
      </c>
      <c r="P35" s="1" t="s">
        <v>17</v>
      </c>
    </row>
    <row r="36" spans="1:16" ht="16.5">
      <c r="A36" s="1">
        <v>35</v>
      </c>
      <c r="B36" s="1" t="s">
        <v>13</v>
      </c>
      <c r="C36" s="1">
        <v>31</v>
      </c>
      <c r="D36" s="2" t="str" cm="1">
        <f t="array" ref="D36">_xlfn.IFS(C36&lt;35, "young", C36&lt;50, "middle age", C36&gt;=50, "old")</f>
        <v>young</v>
      </c>
      <c r="E36" s="1" t="s">
        <v>18</v>
      </c>
      <c r="F36" s="1">
        <v>7.7</v>
      </c>
      <c r="G36" s="1">
        <v>7</v>
      </c>
      <c r="H36" s="1">
        <v>75</v>
      </c>
      <c r="I36" s="1">
        <v>6</v>
      </c>
      <c r="J36" s="1" t="s">
        <v>19</v>
      </c>
      <c r="K36" s="1" t="s">
        <v>27</v>
      </c>
      <c r="L36" s="1">
        <f t="shared" si="0"/>
        <v>120</v>
      </c>
      <c r="M36" s="3">
        <f t="shared" si="1"/>
        <v>80</v>
      </c>
      <c r="N36" s="1">
        <v>70</v>
      </c>
      <c r="O36" s="1">
        <v>8000</v>
      </c>
      <c r="P36" s="1" t="s">
        <v>17</v>
      </c>
    </row>
    <row r="37" spans="1:16" ht="16.5">
      <c r="A37" s="1">
        <v>36</v>
      </c>
      <c r="B37" s="1" t="s">
        <v>13</v>
      </c>
      <c r="C37" s="1">
        <v>31</v>
      </c>
      <c r="D37" s="2" t="str" cm="1">
        <f t="array" ref="D37">_xlfn.IFS(C37&lt;35, "young", C37&lt;50, "middle age", C37&gt;=50, "old")</f>
        <v>young</v>
      </c>
      <c r="E37" s="1" t="s">
        <v>18</v>
      </c>
      <c r="F37" s="1">
        <v>6.1</v>
      </c>
      <c r="G37" s="1">
        <v>6</v>
      </c>
      <c r="H37" s="1">
        <v>30</v>
      </c>
      <c r="I37" s="1">
        <v>8</v>
      </c>
      <c r="J37" s="1" t="s">
        <v>19</v>
      </c>
      <c r="K37" s="1" t="s">
        <v>20</v>
      </c>
      <c r="L37" s="1">
        <f t="shared" si="0"/>
        <v>125</v>
      </c>
      <c r="M37" s="3">
        <f t="shared" si="1"/>
        <v>80</v>
      </c>
      <c r="N37" s="1">
        <v>72</v>
      </c>
      <c r="O37" s="1">
        <v>5000</v>
      </c>
      <c r="P37" s="1" t="s">
        <v>17</v>
      </c>
    </row>
    <row r="38" spans="1:16" ht="16.5">
      <c r="A38" s="1">
        <v>37</v>
      </c>
      <c r="B38" s="1" t="s">
        <v>13</v>
      </c>
      <c r="C38" s="1">
        <v>31</v>
      </c>
      <c r="D38" s="2" t="str" cm="1">
        <f t="array" ref="D38">_xlfn.IFS(C38&lt;35, "young", C38&lt;50, "middle age", C38&gt;=50, "old")</f>
        <v>young</v>
      </c>
      <c r="E38" s="1" t="s">
        <v>18</v>
      </c>
      <c r="F38" s="1">
        <v>6.1</v>
      </c>
      <c r="G38" s="1">
        <v>6</v>
      </c>
      <c r="H38" s="1">
        <v>30</v>
      </c>
      <c r="I38" s="1">
        <v>8</v>
      </c>
      <c r="J38" s="1" t="s">
        <v>19</v>
      </c>
      <c r="K38" s="1" t="s">
        <v>20</v>
      </c>
      <c r="L38" s="1">
        <f t="shared" si="0"/>
        <v>125</v>
      </c>
      <c r="M38" s="3">
        <f t="shared" si="1"/>
        <v>80</v>
      </c>
      <c r="N38" s="1">
        <v>72</v>
      </c>
      <c r="O38" s="1">
        <v>5000</v>
      </c>
      <c r="P38" s="1" t="s">
        <v>17</v>
      </c>
    </row>
    <row r="39" spans="1:16" ht="16.5">
      <c r="A39" s="1">
        <v>38</v>
      </c>
      <c r="B39" s="1" t="s">
        <v>13</v>
      </c>
      <c r="C39" s="1">
        <v>31</v>
      </c>
      <c r="D39" s="2" t="str" cm="1">
        <f t="array" ref="D39">_xlfn.IFS(C39&lt;35, "young", C39&lt;50, "middle age", C39&gt;=50, "old")</f>
        <v>young</v>
      </c>
      <c r="E39" s="1" t="s">
        <v>18</v>
      </c>
      <c r="F39" s="1">
        <v>7.6</v>
      </c>
      <c r="G39" s="1">
        <v>7</v>
      </c>
      <c r="H39" s="1">
        <v>75</v>
      </c>
      <c r="I39" s="1">
        <v>6</v>
      </c>
      <c r="J39" s="1" t="s">
        <v>19</v>
      </c>
      <c r="K39" s="1" t="s">
        <v>27</v>
      </c>
      <c r="L39" s="1">
        <f t="shared" si="0"/>
        <v>120</v>
      </c>
      <c r="M39" s="3">
        <f t="shared" si="1"/>
        <v>80</v>
      </c>
      <c r="N39" s="1">
        <v>70</v>
      </c>
      <c r="O39" s="1">
        <v>8000</v>
      </c>
      <c r="P39" s="1" t="s">
        <v>17</v>
      </c>
    </row>
    <row r="40" spans="1:16" ht="16.5">
      <c r="A40" s="1">
        <v>39</v>
      </c>
      <c r="B40" s="1" t="s">
        <v>13</v>
      </c>
      <c r="C40" s="1">
        <v>31</v>
      </c>
      <c r="D40" s="2" t="str" cm="1">
        <f t="array" ref="D40">_xlfn.IFS(C40&lt;35, "young", C40&lt;50, "middle age", C40&gt;=50, "old")</f>
        <v>young</v>
      </c>
      <c r="E40" s="1" t="s">
        <v>18</v>
      </c>
      <c r="F40" s="1">
        <v>7.6</v>
      </c>
      <c r="G40" s="1">
        <v>7</v>
      </c>
      <c r="H40" s="1">
        <v>75</v>
      </c>
      <c r="I40" s="1">
        <v>6</v>
      </c>
      <c r="J40" s="1" t="s">
        <v>19</v>
      </c>
      <c r="K40" s="1" t="s">
        <v>27</v>
      </c>
      <c r="L40" s="1">
        <f t="shared" si="0"/>
        <v>120</v>
      </c>
      <c r="M40" s="3">
        <f t="shared" si="1"/>
        <v>80</v>
      </c>
      <c r="N40" s="1">
        <v>70</v>
      </c>
      <c r="O40" s="1">
        <v>8000</v>
      </c>
      <c r="P40" s="1" t="s">
        <v>17</v>
      </c>
    </row>
    <row r="41" spans="1:16" ht="16.5">
      <c r="A41" s="1">
        <v>40</v>
      </c>
      <c r="B41" s="1" t="s">
        <v>13</v>
      </c>
      <c r="C41" s="1">
        <v>31</v>
      </c>
      <c r="D41" s="2" t="str" cm="1">
        <f t="array" ref="D41">_xlfn.IFS(C41&lt;35, "young", C41&lt;50, "middle age", C41&gt;=50, "old")</f>
        <v>young</v>
      </c>
      <c r="E41" s="1" t="s">
        <v>18</v>
      </c>
      <c r="F41" s="1">
        <v>7.6</v>
      </c>
      <c r="G41" s="1">
        <v>7</v>
      </c>
      <c r="H41" s="1">
        <v>75</v>
      </c>
      <c r="I41" s="1">
        <v>6</v>
      </c>
      <c r="J41" s="1" t="s">
        <v>19</v>
      </c>
      <c r="K41" s="1" t="s">
        <v>27</v>
      </c>
      <c r="L41" s="1">
        <f t="shared" si="0"/>
        <v>120</v>
      </c>
      <c r="M41" s="3">
        <f t="shared" si="1"/>
        <v>80</v>
      </c>
      <c r="N41" s="1">
        <v>70</v>
      </c>
      <c r="O41" s="1">
        <v>8000</v>
      </c>
      <c r="P41" s="1" t="s">
        <v>17</v>
      </c>
    </row>
    <row r="42" spans="1:16" ht="16.5">
      <c r="A42" s="1">
        <v>41</v>
      </c>
      <c r="B42" s="1" t="s">
        <v>13</v>
      </c>
      <c r="C42" s="1">
        <v>31</v>
      </c>
      <c r="D42" s="2" t="str" cm="1">
        <f t="array" ref="D42">_xlfn.IFS(C42&lt;35, "young", C42&lt;50, "middle age", C42&gt;=50, "old")</f>
        <v>young</v>
      </c>
      <c r="E42" s="1" t="s">
        <v>18</v>
      </c>
      <c r="F42" s="1">
        <v>7.7</v>
      </c>
      <c r="G42" s="1">
        <v>7</v>
      </c>
      <c r="H42" s="1">
        <v>75</v>
      </c>
      <c r="I42" s="1">
        <v>6</v>
      </c>
      <c r="J42" s="1" t="s">
        <v>19</v>
      </c>
      <c r="K42" s="1" t="s">
        <v>27</v>
      </c>
      <c r="L42" s="1">
        <f t="shared" si="0"/>
        <v>120</v>
      </c>
      <c r="M42" s="3">
        <f t="shared" si="1"/>
        <v>80</v>
      </c>
      <c r="N42" s="1">
        <v>70</v>
      </c>
      <c r="O42" s="1">
        <v>8000</v>
      </c>
      <c r="P42" s="1" t="s">
        <v>17</v>
      </c>
    </row>
    <row r="43" spans="1:16" ht="16.5">
      <c r="A43" s="1">
        <v>42</v>
      </c>
      <c r="B43" s="1" t="s">
        <v>13</v>
      </c>
      <c r="C43" s="1">
        <v>31</v>
      </c>
      <c r="D43" s="2" t="str" cm="1">
        <f t="array" ref="D43">_xlfn.IFS(C43&lt;35, "young", C43&lt;50, "middle age", C43&gt;=50, "old")</f>
        <v>young</v>
      </c>
      <c r="E43" s="1" t="s">
        <v>18</v>
      </c>
      <c r="F43" s="1">
        <v>7.7</v>
      </c>
      <c r="G43" s="1">
        <v>7</v>
      </c>
      <c r="H43" s="1">
        <v>75</v>
      </c>
      <c r="I43" s="1">
        <v>6</v>
      </c>
      <c r="J43" s="1" t="s">
        <v>19</v>
      </c>
      <c r="K43" s="1" t="s">
        <v>27</v>
      </c>
      <c r="L43" s="1">
        <f t="shared" si="0"/>
        <v>120</v>
      </c>
      <c r="M43" s="3">
        <f t="shared" si="1"/>
        <v>80</v>
      </c>
      <c r="N43" s="1">
        <v>70</v>
      </c>
      <c r="O43" s="1">
        <v>8000</v>
      </c>
      <c r="P43" s="1" t="s">
        <v>17</v>
      </c>
    </row>
    <row r="44" spans="1:16" ht="16.5">
      <c r="A44" s="1">
        <v>43</v>
      </c>
      <c r="B44" s="1" t="s">
        <v>13</v>
      </c>
      <c r="C44" s="1">
        <v>31</v>
      </c>
      <c r="D44" s="2" t="str" cm="1">
        <f t="array" ref="D44">_xlfn.IFS(C44&lt;35, "young", C44&lt;50, "middle age", C44&gt;=50, "old")</f>
        <v>young</v>
      </c>
      <c r="E44" s="1" t="s">
        <v>18</v>
      </c>
      <c r="F44" s="1">
        <v>7.7</v>
      </c>
      <c r="G44" s="1">
        <v>7</v>
      </c>
      <c r="H44" s="1">
        <v>75</v>
      </c>
      <c r="I44" s="1">
        <v>6</v>
      </c>
      <c r="J44" s="1" t="s">
        <v>19</v>
      </c>
      <c r="K44" s="1" t="s">
        <v>27</v>
      </c>
      <c r="L44" s="1">
        <f t="shared" si="0"/>
        <v>120</v>
      </c>
      <c r="M44" s="3">
        <f t="shared" si="1"/>
        <v>80</v>
      </c>
      <c r="N44" s="1">
        <v>70</v>
      </c>
      <c r="O44" s="1">
        <v>8000</v>
      </c>
      <c r="P44" s="1" t="s">
        <v>17</v>
      </c>
    </row>
    <row r="45" spans="1:16" ht="16.5">
      <c r="A45" s="1">
        <v>44</v>
      </c>
      <c r="B45" s="1" t="s">
        <v>13</v>
      </c>
      <c r="C45" s="1">
        <v>31</v>
      </c>
      <c r="D45" s="2" t="str" cm="1">
        <f t="array" ref="D45">_xlfn.IFS(C45&lt;35, "young", C45&lt;50, "middle age", C45&gt;=50, "old")</f>
        <v>young</v>
      </c>
      <c r="E45" s="1" t="s">
        <v>18</v>
      </c>
      <c r="F45" s="1">
        <v>7.8</v>
      </c>
      <c r="G45" s="1">
        <v>7</v>
      </c>
      <c r="H45" s="1">
        <v>75</v>
      </c>
      <c r="I45" s="1">
        <v>6</v>
      </c>
      <c r="J45" s="1" t="s">
        <v>19</v>
      </c>
      <c r="K45" s="1" t="s">
        <v>27</v>
      </c>
      <c r="L45" s="1">
        <f t="shared" si="0"/>
        <v>120</v>
      </c>
      <c r="M45" s="3">
        <f t="shared" si="1"/>
        <v>80</v>
      </c>
      <c r="N45" s="1">
        <v>70</v>
      </c>
      <c r="O45" s="1">
        <v>8000</v>
      </c>
      <c r="P45" s="1" t="s">
        <v>17</v>
      </c>
    </row>
    <row r="46" spans="1:16" ht="16.5">
      <c r="A46" s="1">
        <v>45</v>
      </c>
      <c r="B46" s="1" t="s">
        <v>13</v>
      </c>
      <c r="C46" s="1">
        <v>31</v>
      </c>
      <c r="D46" s="2" t="str" cm="1">
        <f t="array" ref="D46">_xlfn.IFS(C46&lt;35, "young", C46&lt;50, "middle age", C46&gt;=50, "old")</f>
        <v>young</v>
      </c>
      <c r="E46" s="1" t="s">
        <v>18</v>
      </c>
      <c r="F46" s="1">
        <v>7.7</v>
      </c>
      <c r="G46" s="1">
        <v>7</v>
      </c>
      <c r="H46" s="1">
        <v>75</v>
      </c>
      <c r="I46" s="1">
        <v>6</v>
      </c>
      <c r="J46" s="1" t="s">
        <v>19</v>
      </c>
      <c r="K46" s="1" t="s">
        <v>27</v>
      </c>
      <c r="L46" s="1">
        <f t="shared" si="0"/>
        <v>120</v>
      </c>
      <c r="M46" s="3">
        <f t="shared" si="1"/>
        <v>80</v>
      </c>
      <c r="N46" s="1">
        <v>70</v>
      </c>
      <c r="O46" s="1">
        <v>8000</v>
      </c>
      <c r="P46" s="1" t="s">
        <v>17</v>
      </c>
    </row>
    <row r="47" spans="1:16" ht="16.5">
      <c r="A47" s="1">
        <v>46</v>
      </c>
      <c r="B47" s="1" t="s">
        <v>13</v>
      </c>
      <c r="C47" s="1">
        <v>31</v>
      </c>
      <c r="D47" s="2" t="str" cm="1">
        <f t="array" ref="D47">_xlfn.IFS(C47&lt;35, "young", C47&lt;50, "middle age", C47&gt;=50, "old")</f>
        <v>young</v>
      </c>
      <c r="E47" s="1" t="s">
        <v>18</v>
      </c>
      <c r="F47" s="1">
        <v>7.8</v>
      </c>
      <c r="G47" s="1">
        <v>7</v>
      </c>
      <c r="H47" s="1">
        <v>75</v>
      </c>
      <c r="I47" s="1">
        <v>6</v>
      </c>
      <c r="J47" s="1" t="s">
        <v>19</v>
      </c>
      <c r="K47" s="1" t="s">
        <v>27</v>
      </c>
      <c r="L47" s="1">
        <f t="shared" si="0"/>
        <v>120</v>
      </c>
      <c r="M47" s="3">
        <f t="shared" si="1"/>
        <v>80</v>
      </c>
      <c r="N47" s="1">
        <v>70</v>
      </c>
      <c r="O47" s="1">
        <v>8000</v>
      </c>
      <c r="P47" s="1" t="s">
        <v>17</v>
      </c>
    </row>
    <row r="48" spans="1:16" ht="16.5">
      <c r="A48" s="1">
        <v>47</v>
      </c>
      <c r="B48" s="1" t="s">
        <v>13</v>
      </c>
      <c r="C48" s="1">
        <v>31</v>
      </c>
      <c r="D48" s="2" t="str" cm="1">
        <f t="array" ref="D48">_xlfn.IFS(C48&lt;35, "young", C48&lt;50, "middle age", C48&gt;=50, "old")</f>
        <v>young</v>
      </c>
      <c r="E48" s="1" t="s">
        <v>18</v>
      </c>
      <c r="F48" s="1">
        <v>7.7</v>
      </c>
      <c r="G48" s="1">
        <v>7</v>
      </c>
      <c r="H48" s="1">
        <v>75</v>
      </c>
      <c r="I48" s="1">
        <v>6</v>
      </c>
      <c r="J48" s="1" t="s">
        <v>19</v>
      </c>
      <c r="K48" s="1" t="s">
        <v>27</v>
      </c>
      <c r="L48" s="1">
        <f t="shared" si="0"/>
        <v>120</v>
      </c>
      <c r="M48" s="3">
        <f t="shared" si="1"/>
        <v>80</v>
      </c>
      <c r="N48" s="1">
        <v>70</v>
      </c>
      <c r="O48" s="1">
        <v>8000</v>
      </c>
      <c r="P48" s="1" t="s">
        <v>17</v>
      </c>
    </row>
    <row r="49" spans="1:16" ht="16.5">
      <c r="A49" s="1">
        <v>48</v>
      </c>
      <c r="B49" s="1" t="s">
        <v>13</v>
      </c>
      <c r="C49" s="1">
        <v>31</v>
      </c>
      <c r="D49" s="2" t="str" cm="1">
        <f t="array" ref="D49">_xlfn.IFS(C49&lt;35, "young", C49&lt;50, "middle age", C49&gt;=50, "old")</f>
        <v>young</v>
      </c>
      <c r="E49" s="1" t="s">
        <v>18</v>
      </c>
      <c r="F49" s="1">
        <v>7.8</v>
      </c>
      <c r="G49" s="1">
        <v>7</v>
      </c>
      <c r="H49" s="1">
        <v>75</v>
      </c>
      <c r="I49" s="1">
        <v>6</v>
      </c>
      <c r="J49" s="1" t="s">
        <v>19</v>
      </c>
      <c r="K49" s="1" t="s">
        <v>27</v>
      </c>
      <c r="L49" s="1">
        <f t="shared" si="0"/>
        <v>120</v>
      </c>
      <c r="M49" s="3">
        <f t="shared" si="1"/>
        <v>80</v>
      </c>
      <c r="N49" s="1">
        <v>70</v>
      </c>
      <c r="O49" s="1">
        <v>8000</v>
      </c>
      <c r="P49" s="1" t="s">
        <v>17</v>
      </c>
    </row>
    <row r="50" spans="1:16" ht="16.5">
      <c r="A50" s="1">
        <v>49</v>
      </c>
      <c r="B50" s="1" t="s">
        <v>13</v>
      </c>
      <c r="C50" s="1">
        <v>31</v>
      </c>
      <c r="D50" s="2" t="str" cm="1">
        <f t="array" ref="D50">_xlfn.IFS(C50&lt;35, "young", C50&lt;50, "middle age", C50&gt;=50, "old")</f>
        <v>young</v>
      </c>
      <c r="E50" s="1" t="s">
        <v>18</v>
      </c>
      <c r="F50" s="1">
        <v>7.7</v>
      </c>
      <c r="G50" s="1">
        <v>7</v>
      </c>
      <c r="H50" s="1">
        <v>75</v>
      </c>
      <c r="I50" s="1">
        <v>6</v>
      </c>
      <c r="J50" s="1" t="s">
        <v>19</v>
      </c>
      <c r="K50" s="1" t="s">
        <v>27</v>
      </c>
      <c r="L50" s="1">
        <f t="shared" si="0"/>
        <v>120</v>
      </c>
      <c r="M50" s="3">
        <f t="shared" si="1"/>
        <v>80</v>
      </c>
      <c r="N50" s="1">
        <v>70</v>
      </c>
      <c r="O50" s="1">
        <v>8000</v>
      </c>
      <c r="P50" s="1" t="s">
        <v>17</v>
      </c>
    </row>
    <row r="51" spans="1:16" ht="16.5">
      <c r="A51" s="1">
        <v>50</v>
      </c>
      <c r="B51" s="1" t="s">
        <v>13</v>
      </c>
      <c r="C51" s="1">
        <v>31</v>
      </c>
      <c r="D51" s="2" t="str" cm="1">
        <f t="array" ref="D51">_xlfn.IFS(C51&lt;35, "young", C51&lt;50, "middle age", C51&gt;=50, "old")</f>
        <v>young</v>
      </c>
      <c r="E51" s="1" t="s">
        <v>18</v>
      </c>
      <c r="F51" s="1">
        <v>7.7</v>
      </c>
      <c r="G51" s="1">
        <v>7</v>
      </c>
      <c r="H51" s="1">
        <v>75</v>
      </c>
      <c r="I51" s="1">
        <v>6</v>
      </c>
      <c r="J51" s="1" t="s">
        <v>19</v>
      </c>
      <c r="K51" s="1" t="s">
        <v>27</v>
      </c>
      <c r="L51" s="1">
        <f t="shared" si="0"/>
        <v>120</v>
      </c>
      <c r="M51" s="3">
        <f t="shared" si="1"/>
        <v>80</v>
      </c>
      <c r="N51" s="1">
        <v>70</v>
      </c>
      <c r="O51" s="1">
        <v>8000</v>
      </c>
      <c r="P51" s="1" t="s">
        <v>24</v>
      </c>
    </row>
    <row r="52" spans="1:16" ht="16.5">
      <c r="A52" s="1">
        <v>51</v>
      </c>
      <c r="B52" s="1" t="s">
        <v>13</v>
      </c>
      <c r="C52" s="1">
        <v>32</v>
      </c>
      <c r="D52" s="2" t="str" cm="1">
        <f t="array" ref="D52">_xlfn.IFS(C52&lt;35, "young", C52&lt;50, "middle age", C52&gt;=50, "old")</f>
        <v>young</v>
      </c>
      <c r="E52" s="1" t="s">
        <v>33</v>
      </c>
      <c r="F52" s="1">
        <v>7.5</v>
      </c>
      <c r="G52" s="1">
        <v>8</v>
      </c>
      <c r="H52" s="1">
        <v>45</v>
      </c>
      <c r="I52" s="1">
        <v>3</v>
      </c>
      <c r="J52" s="1" t="s">
        <v>19</v>
      </c>
      <c r="K52" s="1" t="s">
        <v>27</v>
      </c>
      <c r="L52" s="1">
        <f t="shared" si="0"/>
        <v>120</v>
      </c>
      <c r="M52" s="3">
        <f t="shared" si="1"/>
        <v>80</v>
      </c>
      <c r="N52" s="1">
        <v>70</v>
      </c>
      <c r="O52" s="1">
        <v>8000</v>
      </c>
      <c r="P52" s="1" t="s">
        <v>17</v>
      </c>
    </row>
    <row r="53" spans="1:16" ht="16.5">
      <c r="A53" s="1">
        <v>52</v>
      </c>
      <c r="B53" s="1" t="s">
        <v>13</v>
      </c>
      <c r="C53" s="1">
        <v>32</v>
      </c>
      <c r="D53" s="2" t="str" cm="1">
        <f t="array" ref="D53">_xlfn.IFS(C53&lt;35, "young", C53&lt;50, "middle age", C53&gt;=50, "old")</f>
        <v>young</v>
      </c>
      <c r="E53" s="1" t="s">
        <v>33</v>
      </c>
      <c r="F53" s="1">
        <v>7.5</v>
      </c>
      <c r="G53" s="1">
        <v>8</v>
      </c>
      <c r="H53" s="1">
        <v>45</v>
      </c>
      <c r="I53" s="1">
        <v>3</v>
      </c>
      <c r="J53" s="1" t="s">
        <v>19</v>
      </c>
      <c r="K53" s="1" t="s">
        <v>27</v>
      </c>
      <c r="L53" s="1">
        <f t="shared" si="0"/>
        <v>120</v>
      </c>
      <c r="M53" s="3">
        <f t="shared" si="1"/>
        <v>80</v>
      </c>
      <c r="N53" s="1">
        <v>70</v>
      </c>
      <c r="O53" s="1">
        <v>8000</v>
      </c>
      <c r="P53" s="1" t="s">
        <v>17</v>
      </c>
    </row>
    <row r="54" spans="1:16" ht="16.5">
      <c r="A54" s="1">
        <v>53</v>
      </c>
      <c r="B54" s="1" t="s">
        <v>13</v>
      </c>
      <c r="C54" s="1">
        <v>32</v>
      </c>
      <c r="D54" s="2" t="str" cm="1">
        <f t="array" ref="D54">_xlfn.IFS(C54&lt;35, "young", C54&lt;50, "middle age", C54&gt;=50, "old")</f>
        <v>young</v>
      </c>
      <c r="E54" s="1" t="s">
        <v>18</v>
      </c>
      <c r="F54" s="1">
        <v>6</v>
      </c>
      <c r="G54" s="1">
        <v>6</v>
      </c>
      <c r="H54" s="1">
        <v>30</v>
      </c>
      <c r="I54" s="1">
        <v>8</v>
      </c>
      <c r="J54" s="1" t="s">
        <v>19</v>
      </c>
      <c r="K54" s="1" t="s">
        <v>20</v>
      </c>
      <c r="L54" s="1">
        <f t="shared" si="0"/>
        <v>125</v>
      </c>
      <c r="M54" s="3">
        <f t="shared" si="1"/>
        <v>80</v>
      </c>
      <c r="N54" s="1">
        <v>72</v>
      </c>
      <c r="O54" s="1">
        <v>5000</v>
      </c>
      <c r="P54" s="1" t="s">
        <v>17</v>
      </c>
    </row>
    <row r="55" spans="1:16" ht="16.5">
      <c r="A55" s="1">
        <v>54</v>
      </c>
      <c r="B55" s="1" t="s">
        <v>13</v>
      </c>
      <c r="C55" s="1">
        <v>32</v>
      </c>
      <c r="D55" s="2" t="str" cm="1">
        <f t="array" ref="D55">_xlfn.IFS(C55&lt;35, "young", C55&lt;50, "middle age", C55&gt;=50, "old")</f>
        <v>young</v>
      </c>
      <c r="E55" s="1" t="s">
        <v>18</v>
      </c>
      <c r="F55" s="1">
        <v>7.6</v>
      </c>
      <c r="G55" s="1">
        <v>7</v>
      </c>
      <c r="H55" s="1">
        <v>75</v>
      </c>
      <c r="I55" s="1">
        <v>6</v>
      </c>
      <c r="J55" s="1" t="s">
        <v>19</v>
      </c>
      <c r="K55" s="1" t="s">
        <v>27</v>
      </c>
      <c r="L55" s="1">
        <f t="shared" si="0"/>
        <v>120</v>
      </c>
      <c r="M55" s="3">
        <f t="shared" si="1"/>
        <v>80</v>
      </c>
      <c r="N55" s="1">
        <v>70</v>
      </c>
      <c r="O55" s="1">
        <v>8000</v>
      </c>
      <c r="P55" s="1" t="s">
        <v>17</v>
      </c>
    </row>
    <row r="56" spans="1:16" ht="16.5">
      <c r="A56" s="1">
        <v>55</v>
      </c>
      <c r="B56" s="1" t="s">
        <v>13</v>
      </c>
      <c r="C56" s="1">
        <v>32</v>
      </c>
      <c r="D56" s="2" t="str" cm="1">
        <f t="array" ref="D56">_xlfn.IFS(C56&lt;35, "young", C56&lt;50, "middle age", C56&gt;=50, "old")</f>
        <v>young</v>
      </c>
      <c r="E56" s="1" t="s">
        <v>18</v>
      </c>
      <c r="F56" s="1">
        <v>6</v>
      </c>
      <c r="G56" s="1">
        <v>6</v>
      </c>
      <c r="H56" s="1">
        <v>30</v>
      </c>
      <c r="I56" s="1">
        <v>8</v>
      </c>
      <c r="J56" s="1" t="s">
        <v>19</v>
      </c>
      <c r="K56" s="1" t="s">
        <v>20</v>
      </c>
      <c r="L56" s="1">
        <f t="shared" si="0"/>
        <v>125</v>
      </c>
      <c r="M56" s="3">
        <f t="shared" si="1"/>
        <v>80</v>
      </c>
      <c r="N56" s="1">
        <v>72</v>
      </c>
      <c r="O56" s="1">
        <v>5000</v>
      </c>
      <c r="P56" s="1" t="s">
        <v>17</v>
      </c>
    </row>
    <row r="57" spans="1:16" ht="16.5">
      <c r="A57" s="1">
        <v>56</v>
      </c>
      <c r="B57" s="1" t="s">
        <v>13</v>
      </c>
      <c r="C57" s="1">
        <v>32</v>
      </c>
      <c r="D57" s="2" t="str" cm="1">
        <f t="array" ref="D57">_xlfn.IFS(C57&lt;35, "young", C57&lt;50, "middle age", C57&gt;=50, "old")</f>
        <v>young</v>
      </c>
      <c r="E57" s="1" t="s">
        <v>18</v>
      </c>
      <c r="F57" s="1">
        <v>6</v>
      </c>
      <c r="G57" s="1">
        <v>6</v>
      </c>
      <c r="H57" s="1">
        <v>30</v>
      </c>
      <c r="I57" s="1">
        <v>8</v>
      </c>
      <c r="J57" s="1" t="s">
        <v>19</v>
      </c>
      <c r="K57" s="1" t="s">
        <v>20</v>
      </c>
      <c r="L57" s="1">
        <f t="shared" si="0"/>
        <v>125</v>
      </c>
      <c r="M57" s="3">
        <f t="shared" si="1"/>
        <v>80</v>
      </c>
      <c r="N57" s="1">
        <v>72</v>
      </c>
      <c r="O57" s="1">
        <v>5000</v>
      </c>
      <c r="P57" s="1" t="s">
        <v>17</v>
      </c>
    </row>
    <row r="58" spans="1:16" ht="16.5">
      <c r="A58" s="1">
        <v>57</v>
      </c>
      <c r="B58" s="1" t="s">
        <v>13</v>
      </c>
      <c r="C58" s="1">
        <v>32</v>
      </c>
      <c r="D58" s="2" t="str" cm="1">
        <f t="array" ref="D58">_xlfn.IFS(C58&lt;35, "young", C58&lt;50, "middle age", C58&gt;=50, "old")</f>
        <v>young</v>
      </c>
      <c r="E58" s="1" t="s">
        <v>18</v>
      </c>
      <c r="F58" s="1">
        <v>7.7</v>
      </c>
      <c r="G58" s="1">
        <v>7</v>
      </c>
      <c r="H58" s="1">
        <v>75</v>
      </c>
      <c r="I58" s="1">
        <v>6</v>
      </c>
      <c r="J58" s="1" t="s">
        <v>19</v>
      </c>
      <c r="K58" s="1" t="s">
        <v>27</v>
      </c>
      <c r="L58" s="1">
        <f t="shared" si="0"/>
        <v>120</v>
      </c>
      <c r="M58" s="3">
        <f t="shared" si="1"/>
        <v>80</v>
      </c>
      <c r="N58" s="1">
        <v>70</v>
      </c>
      <c r="O58" s="1">
        <v>8000</v>
      </c>
      <c r="P58" s="1" t="s">
        <v>17</v>
      </c>
    </row>
    <row r="59" spans="1:16" ht="16.5">
      <c r="A59" s="1">
        <v>58</v>
      </c>
      <c r="B59" s="1" t="s">
        <v>13</v>
      </c>
      <c r="C59" s="1">
        <v>32</v>
      </c>
      <c r="D59" s="2" t="str" cm="1">
        <f t="array" ref="D59">_xlfn.IFS(C59&lt;35, "young", C59&lt;50, "middle age", C59&gt;=50, "old")</f>
        <v>young</v>
      </c>
      <c r="E59" s="1" t="s">
        <v>18</v>
      </c>
      <c r="F59" s="1">
        <v>6</v>
      </c>
      <c r="G59" s="1">
        <v>6</v>
      </c>
      <c r="H59" s="1">
        <v>30</v>
      </c>
      <c r="I59" s="1">
        <v>8</v>
      </c>
      <c r="J59" s="1" t="s">
        <v>19</v>
      </c>
      <c r="K59" s="1" t="s">
        <v>20</v>
      </c>
      <c r="L59" s="1">
        <f t="shared" si="0"/>
        <v>125</v>
      </c>
      <c r="M59" s="3">
        <f t="shared" si="1"/>
        <v>80</v>
      </c>
      <c r="N59" s="1">
        <v>72</v>
      </c>
      <c r="O59" s="1">
        <v>5000</v>
      </c>
      <c r="P59" s="1" t="s">
        <v>17</v>
      </c>
    </row>
    <row r="60" spans="1:16" ht="16.5">
      <c r="A60" s="1">
        <v>59</v>
      </c>
      <c r="B60" s="1" t="s">
        <v>13</v>
      </c>
      <c r="C60" s="1">
        <v>32</v>
      </c>
      <c r="D60" s="2" t="str" cm="1">
        <f t="array" ref="D60">_xlfn.IFS(C60&lt;35, "young", C60&lt;50, "middle age", C60&gt;=50, "old")</f>
        <v>young</v>
      </c>
      <c r="E60" s="1" t="s">
        <v>18</v>
      </c>
      <c r="F60" s="1">
        <v>6</v>
      </c>
      <c r="G60" s="1">
        <v>6</v>
      </c>
      <c r="H60" s="1">
        <v>30</v>
      </c>
      <c r="I60" s="1">
        <v>8</v>
      </c>
      <c r="J60" s="1" t="s">
        <v>19</v>
      </c>
      <c r="K60" s="1" t="s">
        <v>20</v>
      </c>
      <c r="L60" s="1">
        <f t="shared" si="0"/>
        <v>125</v>
      </c>
      <c r="M60" s="3">
        <f t="shared" si="1"/>
        <v>80</v>
      </c>
      <c r="N60" s="1">
        <v>72</v>
      </c>
      <c r="O60" s="1">
        <v>5000</v>
      </c>
      <c r="P60" s="1" t="s">
        <v>17</v>
      </c>
    </row>
    <row r="61" spans="1:16" ht="16.5">
      <c r="A61" s="1">
        <v>60</v>
      </c>
      <c r="B61" s="1" t="s">
        <v>13</v>
      </c>
      <c r="C61" s="1">
        <v>32</v>
      </c>
      <c r="D61" s="2" t="str" cm="1">
        <f t="array" ref="D61">_xlfn.IFS(C61&lt;35, "young", C61&lt;50, "middle age", C61&gt;=50, "old")</f>
        <v>young</v>
      </c>
      <c r="E61" s="1" t="s">
        <v>18</v>
      </c>
      <c r="F61" s="1">
        <v>7.7</v>
      </c>
      <c r="G61" s="1">
        <v>7</v>
      </c>
      <c r="H61" s="1">
        <v>75</v>
      </c>
      <c r="I61" s="1">
        <v>6</v>
      </c>
      <c r="J61" s="1" t="s">
        <v>19</v>
      </c>
      <c r="K61" s="1" t="s">
        <v>27</v>
      </c>
      <c r="L61" s="1">
        <f t="shared" si="0"/>
        <v>120</v>
      </c>
      <c r="M61" s="3">
        <f t="shared" si="1"/>
        <v>80</v>
      </c>
      <c r="N61" s="1">
        <v>70</v>
      </c>
      <c r="O61" s="1">
        <v>8000</v>
      </c>
      <c r="P61" s="1" t="s">
        <v>17</v>
      </c>
    </row>
    <row r="62" spans="1:16" ht="16.5">
      <c r="A62" s="1">
        <v>61</v>
      </c>
      <c r="B62" s="1" t="s">
        <v>13</v>
      </c>
      <c r="C62" s="1">
        <v>32</v>
      </c>
      <c r="D62" s="2" t="str" cm="1">
        <f t="array" ref="D62">_xlfn.IFS(C62&lt;35, "young", C62&lt;50, "middle age", C62&gt;=50, "old")</f>
        <v>young</v>
      </c>
      <c r="E62" s="1" t="s">
        <v>18</v>
      </c>
      <c r="F62" s="1">
        <v>6</v>
      </c>
      <c r="G62" s="1">
        <v>6</v>
      </c>
      <c r="H62" s="1">
        <v>30</v>
      </c>
      <c r="I62" s="1">
        <v>8</v>
      </c>
      <c r="J62" s="1" t="s">
        <v>19</v>
      </c>
      <c r="K62" s="1" t="s">
        <v>20</v>
      </c>
      <c r="L62" s="1">
        <f t="shared" si="0"/>
        <v>125</v>
      </c>
      <c r="M62" s="3">
        <f t="shared" si="1"/>
        <v>80</v>
      </c>
      <c r="N62" s="1">
        <v>72</v>
      </c>
      <c r="O62" s="1">
        <v>5000</v>
      </c>
      <c r="P62" s="1" t="s">
        <v>17</v>
      </c>
    </row>
    <row r="63" spans="1:16" ht="16.5">
      <c r="A63" s="1">
        <v>62</v>
      </c>
      <c r="B63" s="1" t="s">
        <v>13</v>
      </c>
      <c r="C63" s="1">
        <v>32</v>
      </c>
      <c r="D63" s="2" t="str" cm="1">
        <f t="array" ref="D63">_xlfn.IFS(C63&lt;35, "young", C63&lt;50, "middle age", C63&gt;=50, "old")</f>
        <v>young</v>
      </c>
      <c r="E63" s="1" t="s">
        <v>18</v>
      </c>
      <c r="F63" s="1">
        <v>6</v>
      </c>
      <c r="G63" s="1">
        <v>6</v>
      </c>
      <c r="H63" s="1">
        <v>30</v>
      </c>
      <c r="I63" s="1">
        <v>8</v>
      </c>
      <c r="J63" s="1" t="s">
        <v>19</v>
      </c>
      <c r="K63" s="1" t="s">
        <v>20</v>
      </c>
      <c r="L63" s="1">
        <f t="shared" si="0"/>
        <v>125</v>
      </c>
      <c r="M63" s="3">
        <f t="shared" si="1"/>
        <v>80</v>
      </c>
      <c r="N63" s="1">
        <v>72</v>
      </c>
      <c r="O63" s="1">
        <v>5000</v>
      </c>
      <c r="P63" s="1" t="s">
        <v>17</v>
      </c>
    </row>
    <row r="64" spans="1:16" ht="16.5">
      <c r="A64" s="1">
        <v>63</v>
      </c>
      <c r="B64" s="1" t="s">
        <v>13</v>
      </c>
      <c r="C64" s="1">
        <v>32</v>
      </c>
      <c r="D64" s="2" t="str" cm="1">
        <f t="array" ref="D64">_xlfn.IFS(C64&lt;35, "young", C64&lt;50, "middle age", C64&gt;=50, "old")</f>
        <v>young</v>
      </c>
      <c r="E64" s="1" t="s">
        <v>18</v>
      </c>
      <c r="F64" s="1">
        <v>6.2</v>
      </c>
      <c r="G64" s="1">
        <v>6</v>
      </c>
      <c r="H64" s="1">
        <v>30</v>
      </c>
      <c r="I64" s="1">
        <v>8</v>
      </c>
      <c r="J64" s="1" t="s">
        <v>19</v>
      </c>
      <c r="K64" s="1" t="s">
        <v>20</v>
      </c>
      <c r="L64" s="1">
        <f t="shared" si="0"/>
        <v>125</v>
      </c>
      <c r="M64" s="3">
        <f t="shared" si="1"/>
        <v>80</v>
      </c>
      <c r="N64" s="1">
        <v>72</v>
      </c>
      <c r="O64" s="1">
        <v>5000</v>
      </c>
      <c r="P64" s="1" t="s">
        <v>17</v>
      </c>
    </row>
    <row r="65" spans="1:16" ht="16.5">
      <c r="A65" s="1">
        <v>64</v>
      </c>
      <c r="B65" s="1" t="s">
        <v>13</v>
      </c>
      <c r="C65" s="1">
        <v>32</v>
      </c>
      <c r="D65" s="2" t="str" cm="1">
        <f t="array" ref="D65">_xlfn.IFS(C65&lt;35, "young", C65&lt;50, "middle age", C65&gt;=50, "old")</f>
        <v>young</v>
      </c>
      <c r="E65" s="1" t="s">
        <v>18</v>
      </c>
      <c r="F65" s="1">
        <v>6.2</v>
      </c>
      <c r="G65" s="1">
        <v>6</v>
      </c>
      <c r="H65" s="1">
        <v>30</v>
      </c>
      <c r="I65" s="1">
        <v>8</v>
      </c>
      <c r="J65" s="1" t="s">
        <v>19</v>
      </c>
      <c r="K65" s="1" t="s">
        <v>20</v>
      </c>
      <c r="L65" s="1">
        <f t="shared" si="0"/>
        <v>125</v>
      </c>
      <c r="M65" s="3">
        <f t="shared" si="1"/>
        <v>80</v>
      </c>
      <c r="N65" s="1">
        <v>72</v>
      </c>
      <c r="O65" s="1">
        <v>5000</v>
      </c>
      <c r="P65" s="1" t="s">
        <v>17</v>
      </c>
    </row>
    <row r="66" spans="1:16" ht="16.5">
      <c r="A66" s="1">
        <v>65</v>
      </c>
      <c r="B66" s="1" t="s">
        <v>13</v>
      </c>
      <c r="C66" s="1">
        <v>32</v>
      </c>
      <c r="D66" s="2" t="str" cm="1">
        <f t="array" ref="D66">_xlfn.IFS(C66&lt;35, "young", C66&lt;50, "middle age", C66&gt;=50, "old")</f>
        <v>young</v>
      </c>
      <c r="E66" s="1" t="s">
        <v>18</v>
      </c>
      <c r="F66" s="1">
        <v>6.2</v>
      </c>
      <c r="G66" s="1">
        <v>6</v>
      </c>
      <c r="H66" s="1">
        <v>30</v>
      </c>
      <c r="I66" s="1">
        <v>8</v>
      </c>
      <c r="J66" s="1" t="s">
        <v>19</v>
      </c>
      <c r="K66" s="1" t="s">
        <v>20</v>
      </c>
      <c r="L66" s="1">
        <f t="shared" si="0"/>
        <v>125</v>
      </c>
      <c r="M66" s="3">
        <f t="shared" si="1"/>
        <v>80</v>
      </c>
      <c r="N66" s="1">
        <v>72</v>
      </c>
      <c r="O66" s="1">
        <v>5000</v>
      </c>
      <c r="P66" s="1" t="s">
        <v>17</v>
      </c>
    </row>
    <row r="67" spans="1:16" ht="16.5">
      <c r="A67" s="1">
        <v>66</v>
      </c>
      <c r="B67" s="1" t="s">
        <v>13</v>
      </c>
      <c r="C67" s="1">
        <v>32</v>
      </c>
      <c r="D67" s="2" t="str" cm="1">
        <f t="array" ref="D67">_xlfn.IFS(C67&lt;35, "young", C67&lt;50, "middle age", C67&gt;=50, "old")</f>
        <v>young</v>
      </c>
      <c r="E67" s="1" t="s">
        <v>18</v>
      </c>
      <c r="F67" s="1">
        <v>6.2</v>
      </c>
      <c r="G67" s="1">
        <v>6</v>
      </c>
      <c r="H67" s="1">
        <v>30</v>
      </c>
      <c r="I67" s="1">
        <v>8</v>
      </c>
      <c r="J67" s="1" t="s">
        <v>19</v>
      </c>
      <c r="K67" s="1" t="s">
        <v>20</v>
      </c>
      <c r="L67" s="1">
        <f t="shared" ref="L67:L130" si="2">VALUE(_xlfn.TEXTBEFORE(K67,"/"))</f>
        <v>125</v>
      </c>
      <c r="M67" s="3">
        <f t="shared" ref="M67:M130" si="3">VALUE(_xlfn.TEXTAFTER(K67,"/"))</f>
        <v>80</v>
      </c>
      <c r="N67" s="1">
        <v>72</v>
      </c>
      <c r="O67" s="1">
        <v>5000</v>
      </c>
      <c r="P67" s="1" t="s">
        <v>17</v>
      </c>
    </row>
    <row r="68" spans="1:16" ht="16.5">
      <c r="A68" s="1">
        <v>67</v>
      </c>
      <c r="B68" s="1" t="s">
        <v>13</v>
      </c>
      <c r="C68" s="1">
        <v>32</v>
      </c>
      <c r="D68" s="2" t="str" cm="1">
        <f t="array" ref="D68">_xlfn.IFS(C68&lt;35, "young", C68&lt;50, "middle age", C68&gt;=50, "old")</f>
        <v>young</v>
      </c>
      <c r="E68" s="1" t="s">
        <v>34</v>
      </c>
      <c r="F68" s="1">
        <v>7.2</v>
      </c>
      <c r="G68" s="1">
        <v>8</v>
      </c>
      <c r="H68" s="1">
        <v>50</v>
      </c>
      <c r="I68" s="1">
        <v>6</v>
      </c>
      <c r="J68" s="1" t="s">
        <v>19</v>
      </c>
      <c r="K68" s="1" t="s">
        <v>35</v>
      </c>
      <c r="L68" s="1">
        <f t="shared" si="2"/>
        <v>118</v>
      </c>
      <c r="M68" s="3">
        <f t="shared" si="3"/>
        <v>76</v>
      </c>
      <c r="N68" s="1">
        <v>68</v>
      </c>
      <c r="O68" s="1">
        <v>7000</v>
      </c>
      <c r="P68" s="1" t="s">
        <v>17</v>
      </c>
    </row>
    <row r="69" spans="1:16" ht="16.5">
      <c r="A69" s="1">
        <v>68</v>
      </c>
      <c r="B69" s="1" t="s">
        <v>13</v>
      </c>
      <c r="C69" s="1">
        <v>33</v>
      </c>
      <c r="D69" s="2" t="str" cm="1">
        <f t="array" ref="D69">_xlfn.IFS(C69&lt;35, "young", C69&lt;50, "middle age", C69&gt;=50, "old")</f>
        <v>young</v>
      </c>
      <c r="E69" s="1" t="s">
        <v>18</v>
      </c>
      <c r="F69" s="1">
        <v>6</v>
      </c>
      <c r="G69" s="1">
        <v>6</v>
      </c>
      <c r="H69" s="1">
        <v>30</v>
      </c>
      <c r="I69" s="1">
        <v>8</v>
      </c>
      <c r="J69" s="1" t="s">
        <v>19</v>
      </c>
      <c r="K69" s="1" t="s">
        <v>20</v>
      </c>
      <c r="L69" s="1">
        <f t="shared" si="2"/>
        <v>125</v>
      </c>
      <c r="M69" s="3">
        <f t="shared" si="3"/>
        <v>80</v>
      </c>
      <c r="N69" s="1">
        <v>72</v>
      </c>
      <c r="O69" s="1">
        <v>5000</v>
      </c>
      <c r="P69" s="1" t="s">
        <v>25</v>
      </c>
    </row>
    <row r="70" spans="1:16" ht="16.5">
      <c r="A70" s="1">
        <v>69</v>
      </c>
      <c r="B70" s="1" t="s">
        <v>28</v>
      </c>
      <c r="C70" s="1">
        <v>33</v>
      </c>
      <c r="D70" s="2" t="str" cm="1">
        <f t="array" ref="D70">_xlfn.IFS(C70&lt;35, "young", C70&lt;50, "middle age", C70&gt;=50, "old")</f>
        <v>young</v>
      </c>
      <c r="E70" s="1" t="s">
        <v>36</v>
      </c>
      <c r="F70" s="1">
        <v>6.2</v>
      </c>
      <c r="G70" s="1">
        <v>6</v>
      </c>
      <c r="H70" s="1">
        <v>50</v>
      </c>
      <c r="I70" s="1">
        <v>6</v>
      </c>
      <c r="J70" s="1" t="s">
        <v>15</v>
      </c>
      <c r="K70" s="1" t="s">
        <v>37</v>
      </c>
      <c r="L70" s="1">
        <f t="shared" si="2"/>
        <v>128</v>
      </c>
      <c r="M70" s="3">
        <f t="shared" si="3"/>
        <v>85</v>
      </c>
      <c r="N70" s="1">
        <v>76</v>
      </c>
      <c r="O70" s="1">
        <v>5500</v>
      </c>
      <c r="P70" s="1" t="s">
        <v>17</v>
      </c>
    </row>
    <row r="71" spans="1:16" ht="16.5">
      <c r="A71" s="1">
        <v>70</v>
      </c>
      <c r="B71" s="1" t="s">
        <v>28</v>
      </c>
      <c r="C71" s="1">
        <v>33</v>
      </c>
      <c r="D71" s="2" t="str" cm="1">
        <f t="array" ref="D71">_xlfn.IFS(C71&lt;35, "young", C71&lt;50, "middle age", C71&gt;=50, "old")</f>
        <v>young</v>
      </c>
      <c r="E71" s="1" t="s">
        <v>36</v>
      </c>
      <c r="F71" s="1">
        <v>6.2</v>
      </c>
      <c r="G71" s="1">
        <v>6</v>
      </c>
      <c r="H71" s="1">
        <v>50</v>
      </c>
      <c r="I71" s="1">
        <v>6</v>
      </c>
      <c r="J71" s="1" t="s">
        <v>15</v>
      </c>
      <c r="K71" s="1" t="s">
        <v>37</v>
      </c>
      <c r="L71" s="1">
        <f t="shared" si="2"/>
        <v>128</v>
      </c>
      <c r="M71" s="3">
        <f t="shared" si="3"/>
        <v>85</v>
      </c>
      <c r="N71" s="1">
        <v>76</v>
      </c>
      <c r="O71" s="1">
        <v>5500</v>
      </c>
      <c r="P71" s="1" t="s">
        <v>17</v>
      </c>
    </row>
    <row r="72" spans="1:16" ht="16.5">
      <c r="A72" s="1">
        <v>71</v>
      </c>
      <c r="B72" s="1" t="s">
        <v>13</v>
      </c>
      <c r="C72" s="1">
        <v>33</v>
      </c>
      <c r="D72" s="2" t="str" cm="1">
        <f t="array" ref="D72">_xlfn.IFS(C72&lt;35, "young", C72&lt;50, "middle age", C72&gt;=50, "old")</f>
        <v>young</v>
      </c>
      <c r="E72" s="1" t="s">
        <v>18</v>
      </c>
      <c r="F72" s="1">
        <v>6.1</v>
      </c>
      <c r="G72" s="1">
        <v>6</v>
      </c>
      <c r="H72" s="1">
        <v>30</v>
      </c>
      <c r="I72" s="1">
        <v>8</v>
      </c>
      <c r="J72" s="1" t="s">
        <v>19</v>
      </c>
      <c r="K72" s="1" t="s">
        <v>20</v>
      </c>
      <c r="L72" s="1">
        <f t="shared" si="2"/>
        <v>125</v>
      </c>
      <c r="M72" s="3">
        <f t="shared" si="3"/>
        <v>80</v>
      </c>
      <c r="N72" s="1">
        <v>72</v>
      </c>
      <c r="O72" s="1">
        <v>5000</v>
      </c>
      <c r="P72" s="1" t="s">
        <v>17</v>
      </c>
    </row>
    <row r="73" spans="1:16" ht="16.5">
      <c r="A73" s="1">
        <v>72</v>
      </c>
      <c r="B73" s="1" t="s">
        <v>13</v>
      </c>
      <c r="C73" s="1">
        <v>33</v>
      </c>
      <c r="D73" s="2" t="str" cm="1">
        <f t="array" ref="D73">_xlfn.IFS(C73&lt;35, "young", C73&lt;50, "middle age", C73&gt;=50, "old")</f>
        <v>young</v>
      </c>
      <c r="E73" s="1" t="s">
        <v>18</v>
      </c>
      <c r="F73" s="1">
        <v>6.1</v>
      </c>
      <c r="G73" s="1">
        <v>6</v>
      </c>
      <c r="H73" s="1">
        <v>30</v>
      </c>
      <c r="I73" s="1">
        <v>8</v>
      </c>
      <c r="J73" s="1" t="s">
        <v>19</v>
      </c>
      <c r="K73" s="1" t="s">
        <v>20</v>
      </c>
      <c r="L73" s="1">
        <f t="shared" si="2"/>
        <v>125</v>
      </c>
      <c r="M73" s="3">
        <f t="shared" si="3"/>
        <v>80</v>
      </c>
      <c r="N73" s="1">
        <v>72</v>
      </c>
      <c r="O73" s="1">
        <v>5000</v>
      </c>
      <c r="P73" s="1" t="s">
        <v>17</v>
      </c>
    </row>
    <row r="74" spans="1:16" ht="16.5">
      <c r="A74" s="1">
        <v>73</v>
      </c>
      <c r="B74" s="1" t="s">
        <v>13</v>
      </c>
      <c r="C74" s="1">
        <v>33</v>
      </c>
      <c r="D74" s="2" t="str" cm="1">
        <f t="array" ref="D74">_xlfn.IFS(C74&lt;35, "young", C74&lt;50, "middle age", C74&gt;=50, "old")</f>
        <v>young</v>
      </c>
      <c r="E74" s="1" t="s">
        <v>18</v>
      </c>
      <c r="F74" s="1">
        <v>6.1</v>
      </c>
      <c r="G74" s="1">
        <v>6</v>
      </c>
      <c r="H74" s="1">
        <v>30</v>
      </c>
      <c r="I74" s="1">
        <v>8</v>
      </c>
      <c r="J74" s="1" t="s">
        <v>19</v>
      </c>
      <c r="K74" s="1" t="s">
        <v>20</v>
      </c>
      <c r="L74" s="1">
        <f t="shared" si="2"/>
        <v>125</v>
      </c>
      <c r="M74" s="3">
        <f t="shared" si="3"/>
        <v>80</v>
      </c>
      <c r="N74" s="1">
        <v>72</v>
      </c>
      <c r="O74" s="1">
        <v>5000</v>
      </c>
      <c r="P74" s="1" t="s">
        <v>17</v>
      </c>
    </row>
    <row r="75" spans="1:16" ht="16.5">
      <c r="A75" s="1">
        <v>74</v>
      </c>
      <c r="B75" s="1" t="s">
        <v>13</v>
      </c>
      <c r="C75" s="1">
        <v>33</v>
      </c>
      <c r="D75" s="2" t="str" cm="1">
        <f t="array" ref="D75">_xlfn.IFS(C75&lt;35, "young", C75&lt;50, "middle age", C75&gt;=50, "old")</f>
        <v>young</v>
      </c>
      <c r="E75" s="1" t="s">
        <v>18</v>
      </c>
      <c r="F75" s="1">
        <v>6.1</v>
      </c>
      <c r="G75" s="1">
        <v>6</v>
      </c>
      <c r="H75" s="1">
        <v>30</v>
      </c>
      <c r="I75" s="1">
        <v>8</v>
      </c>
      <c r="J75" s="1" t="s">
        <v>19</v>
      </c>
      <c r="K75" s="1" t="s">
        <v>20</v>
      </c>
      <c r="L75" s="1">
        <f t="shared" si="2"/>
        <v>125</v>
      </c>
      <c r="M75" s="3">
        <f t="shared" si="3"/>
        <v>80</v>
      </c>
      <c r="N75" s="1">
        <v>72</v>
      </c>
      <c r="O75" s="1">
        <v>5000</v>
      </c>
      <c r="P75" s="1" t="s">
        <v>17</v>
      </c>
    </row>
    <row r="76" spans="1:16" ht="16.5">
      <c r="A76" s="1">
        <v>75</v>
      </c>
      <c r="B76" s="1" t="s">
        <v>13</v>
      </c>
      <c r="C76" s="1">
        <v>33</v>
      </c>
      <c r="D76" s="2" t="str" cm="1">
        <f t="array" ref="D76">_xlfn.IFS(C76&lt;35, "young", C76&lt;50, "middle age", C76&gt;=50, "old")</f>
        <v>young</v>
      </c>
      <c r="E76" s="1" t="s">
        <v>18</v>
      </c>
      <c r="F76" s="1">
        <v>6</v>
      </c>
      <c r="G76" s="1">
        <v>6</v>
      </c>
      <c r="H76" s="1">
        <v>30</v>
      </c>
      <c r="I76" s="1">
        <v>8</v>
      </c>
      <c r="J76" s="1" t="s">
        <v>19</v>
      </c>
      <c r="K76" s="1" t="s">
        <v>20</v>
      </c>
      <c r="L76" s="1">
        <f t="shared" si="2"/>
        <v>125</v>
      </c>
      <c r="M76" s="3">
        <f t="shared" si="3"/>
        <v>80</v>
      </c>
      <c r="N76" s="1">
        <v>72</v>
      </c>
      <c r="O76" s="1">
        <v>5000</v>
      </c>
      <c r="P76" s="1" t="s">
        <v>17</v>
      </c>
    </row>
    <row r="77" spans="1:16" ht="16.5">
      <c r="A77" s="1">
        <v>76</v>
      </c>
      <c r="B77" s="1" t="s">
        <v>13</v>
      </c>
      <c r="C77" s="1">
        <v>33</v>
      </c>
      <c r="D77" s="2" t="str" cm="1">
        <f t="array" ref="D77">_xlfn.IFS(C77&lt;35, "young", C77&lt;50, "middle age", C77&gt;=50, "old")</f>
        <v>young</v>
      </c>
      <c r="E77" s="1" t="s">
        <v>18</v>
      </c>
      <c r="F77" s="1">
        <v>6</v>
      </c>
      <c r="G77" s="1">
        <v>6</v>
      </c>
      <c r="H77" s="1">
        <v>30</v>
      </c>
      <c r="I77" s="1">
        <v>8</v>
      </c>
      <c r="J77" s="1" t="s">
        <v>19</v>
      </c>
      <c r="K77" s="1" t="s">
        <v>20</v>
      </c>
      <c r="L77" s="1">
        <f t="shared" si="2"/>
        <v>125</v>
      </c>
      <c r="M77" s="3">
        <f t="shared" si="3"/>
        <v>80</v>
      </c>
      <c r="N77" s="1">
        <v>72</v>
      </c>
      <c r="O77" s="1">
        <v>5000</v>
      </c>
      <c r="P77" s="1" t="s">
        <v>17</v>
      </c>
    </row>
    <row r="78" spans="1:16" ht="16.5">
      <c r="A78" s="1">
        <v>77</v>
      </c>
      <c r="B78" s="1" t="s">
        <v>13</v>
      </c>
      <c r="C78" s="1">
        <v>33</v>
      </c>
      <c r="D78" s="2" t="str" cm="1">
        <f t="array" ref="D78">_xlfn.IFS(C78&lt;35, "young", C78&lt;50, "middle age", C78&gt;=50, "old")</f>
        <v>young</v>
      </c>
      <c r="E78" s="1" t="s">
        <v>18</v>
      </c>
      <c r="F78" s="1">
        <v>6</v>
      </c>
      <c r="G78" s="1">
        <v>6</v>
      </c>
      <c r="H78" s="1">
        <v>30</v>
      </c>
      <c r="I78" s="1">
        <v>8</v>
      </c>
      <c r="J78" s="1" t="s">
        <v>19</v>
      </c>
      <c r="K78" s="1" t="s">
        <v>20</v>
      </c>
      <c r="L78" s="1">
        <f t="shared" si="2"/>
        <v>125</v>
      </c>
      <c r="M78" s="3">
        <f t="shared" si="3"/>
        <v>80</v>
      </c>
      <c r="N78" s="1">
        <v>72</v>
      </c>
      <c r="O78" s="1">
        <v>5000</v>
      </c>
      <c r="P78" s="1" t="s">
        <v>17</v>
      </c>
    </row>
    <row r="79" spans="1:16" ht="16.5">
      <c r="A79" s="1">
        <v>78</v>
      </c>
      <c r="B79" s="1" t="s">
        <v>13</v>
      </c>
      <c r="C79" s="1">
        <v>33</v>
      </c>
      <c r="D79" s="2" t="str" cm="1">
        <f t="array" ref="D79">_xlfn.IFS(C79&lt;35, "young", C79&lt;50, "middle age", C79&gt;=50, "old")</f>
        <v>young</v>
      </c>
      <c r="E79" s="1" t="s">
        <v>18</v>
      </c>
      <c r="F79" s="1">
        <v>6</v>
      </c>
      <c r="G79" s="1">
        <v>6</v>
      </c>
      <c r="H79" s="1">
        <v>30</v>
      </c>
      <c r="I79" s="1">
        <v>8</v>
      </c>
      <c r="J79" s="1" t="s">
        <v>19</v>
      </c>
      <c r="K79" s="1" t="s">
        <v>20</v>
      </c>
      <c r="L79" s="1">
        <f t="shared" si="2"/>
        <v>125</v>
      </c>
      <c r="M79" s="3">
        <f t="shared" si="3"/>
        <v>80</v>
      </c>
      <c r="N79" s="1">
        <v>72</v>
      </c>
      <c r="O79" s="1">
        <v>5000</v>
      </c>
      <c r="P79" s="1" t="s">
        <v>17</v>
      </c>
    </row>
    <row r="80" spans="1:16" ht="16.5">
      <c r="A80" s="1">
        <v>79</v>
      </c>
      <c r="B80" s="1" t="s">
        <v>13</v>
      </c>
      <c r="C80" s="1">
        <v>33</v>
      </c>
      <c r="D80" s="2" t="str" cm="1">
        <f t="array" ref="D80">_xlfn.IFS(C80&lt;35, "young", C80&lt;50, "middle age", C80&gt;=50, "old")</f>
        <v>young</v>
      </c>
      <c r="E80" s="1" t="s">
        <v>18</v>
      </c>
      <c r="F80" s="1">
        <v>6</v>
      </c>
      <c r="G80" s="1">
        <v>6</v>
      </c>
      <c r="H80" s="1">
        <v>30</v>
      </c>
      <c r="I80" s="1">
        <v>8</v>
      </c>
      <c r="J80" s="1" t="s">
        <v>19</v>
      </c>
      <c r="K80" s="1" t="s">
        <v>20</v>
      </c>
      <c r="L80" s="1">
        <f t="shared" si="2"/>
        <v>125</v>
      </c>
      <c r="M80" s="3">
        <f t="shared" si="3"/>
        <v>80</v>
      </c>
      <c r="N80" s="1">
        <v>72</v>
      </c>
      <c r="O80" s="1">
        <v>5000</v>
      </c>
      <c r="P80" s="1" t="s">
        <v>17</v>
      </c>
    </row>
    <row r="81" spans="1:16" ht="16.5">
      <c r="A81" s="1">
        <v>80</v>
      </c>
      <c r="B81" s="1" t="s">
        <v>13</v>
      </c>
      <c r="C81" s="1">
        <v>33</v>
      </c>
      <c r="D81" s="2" t="str" cm="1">
        <f t="array" ref="D81">_xlfn.IFS(C81&lt;35, "young", C81&lt;50, "middle age", C81&gt;=50, "old")</f>
        <v>young</v>
      </c>
      <c r="E81" s="1" t="s">
        <v>18</v>
      </c>
      <c r="F81" s="1">
        <v>6</v>
      </c>
      <c r="G81" s="1">
        <v>6</v>
      </c>
      <c r="H81" s="1">
        <v>30</v>
      </c>
      <c r="I81" s="1">
        <v>8</v>
      </c>
      <c r="J81" s="1" t="s">
        <v>19</v>
      </c>
      <c r="K81" s="1" t="s">
        <v>20</v>
      </c>
      <c r="L81" s="1">
        <f t="shared" si="2"/>
        <v>125</v>
      </c>
      <c r="M81" s="3">
        <f t="shared" si="3"/>
        <v>80</v>
      </c>
      <c r="N81" s="1">
        <v>72</v>
      </c>
      <c r="O81" s="1">
        <v>5000</v>
      </c>
      <c r="P81" s="1" t="s">
        <v>17</v>
      </c>
    </row>
    <row r="82" spans="1:16" ht="16.5">
      <c r="A82" s="1">
        <v>81</v>
      </c>
      <c r="B82" s="1" t="s">
        <v>28</v>
      </c>
      <c r="C82" s="1">
        <v>34</v>
      </c>
      <c r="D82" s="2" t="str" cm="1">
        <f t="array" ref="D82">_xlfn.IFS(C82&lt;35, "young", C82&lt;50, "middle age", C82&gt;=50, "old")</f>
        <v>young</v>
      </c>
      <c r="E82" s="1" t="s">
        <v>36</v>
      </c>
      <c r="F82" s="1">
        <v>5.8</v>
      </c>
      <c r="G82" s="1">
        <v>4</v>
      </c>
      <c r="H82" s="1">
        <v>32</v>
      </c>
      <c r="I82" s="1">
        <v>8</v>
      </c>
      <c r="J82" s="1" t="s">
        <v>15</v>
      </c>
      <c r="K82" s="1" t="s">
        <v>38</v>
      </c>
      <c r="L82" s="1">
        <f t="shared" si="2"/>
        <v>131</v>
      </c>
      <c r="M82" s="3">
        <f t="shared" si="3"/>
        <v>86</v>
      </c>
      <c r="N82" s="1">
        <v>81</v>
      </c>
      <c r="O82" s="1">
        <v>5200</v>
      </c>
      <c r="P82" s="1" t="s">
        <v>24</v>
      </c>
    </row>
    <row r="83" spans="1:16" ht="16.5">
      <c r="A83" s="1">
        <v>82</v>
      </c>
      <c r="B83" s="1" t="s">
        <v>28</v>
      </c>
      <c r="C83" s="1">
        <v>34</v>
      </c>
      <c r="D83" s="2" t="str" cm="1">
        <f t="array" ref="D83">_xlfn.IFS(C83&lt;35, "young", C83&lt;50, "middle age", C83&gt;=50, "old")</f>
        <v>young</v>
      </c>
      <c r="E83" s="1" t="s">
        <v>36</v>
      </c>
      <c r="F83" s="1">
        <v>5.8</v>
      </c>
      <c r="G83" s="1">
        <v>4</v>
      </c>
      <c r="H83" s="1">
        <v>32</v>
      </c>
      <c r="I83" s="1">
        <v>8</v>
      </c>
      <c r="J83" s="1" t="s">
        <v>15</v>
      </c>
      <c r="K83" s="1" t="s">
        <v>38</v>
      </c>
      <c r="L83" s="1">
        <f t="shared" si="2"/>
        <v>131</v>
      </c>
      <c r="M83" s="3">
        <f t="shared" si="3"/>
        <v>86</v>
      </c>
      <c r="N83" s="1">
        <v>81</v>
      </c>
      <c r="O83" s="1">
        <v>5200</v>
      </c>
      <c r="P83" s="1" t="s">
        <v>24</v>
      </c>
    </row>
    <row r="84" spans="1:16" ht="16.5">
      <c r="A84" s="1">
        <v>83</v>
      </c>
      <c r="B84" s="1" t="s">
        <v>13</v>
      </c>
      <c r="C84" s="1">
        <v>35</v>
      </c>
      <c r="D84" s="2" t="str" cm="1">
        <f t="array" ref="D84">_xlfn.IFS(C84&lt;35, "young", C84&lt;50, "middle age", C84&gt;=50, "old")</f>
        <v>middle age</v>
      </c>
      <c r="E84" s="1" t="s">
        <v>26</v>
      </c>
      <c r="F84" s="1">
        <v>6.7</v>
      </c>
      <c r="G84" s="1">
        <v>7</v>
      </c>
      <c r="H84" s="1">
        <v>40</v>
      </c>
      <c r="I84" s="1">
        <v>5</v>
      </c>
      <c r="J84" s="1" t="s">
        <v>15</v>
      </c>
      <c r="K84" s="1" t="s">
        <v>39</v>
      </c>
      <c r="L84" s="1">
        <f t="shared" si="2"/>
        <v>128</v>
      </c>
      <c r="M84" s="3">
        <f t="shared" si="3"/>
        <v>84</v>
      </c>
      <c r="N84" s="1">
        <v>70</v>
      </c>
      <c r="O84" s="1">
        <v>5600</v>
      </c>
      <c r="P84" s="1" t="s">
        <v>17</v>
      </c>
    </row>
    <row r="85" spans="1:16" ht="16.5">
      <c r="A85" s="1">
        <v>84</v>
      </c>
      <c r="B85" s="1" t="s">
        <v>13</v>
      </c>
      <c r="C85" s="1">
        <v>35</v>
      </c>
      <c r="D85" s="2" t="str" cm="1">
        <f t="array" ref="D85">_xlfn.IFS(C85&lt;35, "young", C85&lt;50, "middle age", C85&gt;=50, "old")</f>
        <v>middle age</v>
      </c>
      <c r="E85" s="1" t="s">
        <v>26</v>
      </c>
      <c r="F85" s="1">
        <v>6.7</v>
      </c>
      <c r="G85" s="1">
        <v>7</v>
      </c>
      <c r="H85" s="1">
        <v>40</v>
      </c>
      <c r="I85" s="1">
        <v>5</v>
      </c>
      <c r="J85" s="1" t="s">
        <v>15</v>
      </c>
      <c r="K85" s="1" t="s">
        <v>39</v>
      </c>
      <c r="L85" s="1">
        <f t="shared" si="2"/>
        <v>128</v>
      </c>
      <c r="M85" s="3">
        <f t="shared" si="3"/>
        <v>84</v>
      </c>
      <c r="N85" s="1">
        <v>70</v>
      </c>
      <c r="O85" s="1">
        <v>5600</v>
      </c>
      <c r="P85" s="1" t="s">
        <v>17</v>
      </c>
    </row>
    <row r="86" spans="1:16" ht="16.5">
      <c r="A86" s="1">
        <v>85</v>
      </c>
      <c r="B86" s="1" t="s">
        <v>13</v>
      </c>
      <c r="C86" s="1">
        <v>35</v>
      </c>
      <c r="D86" s="2" t="str" cm="1">
        <f t="array" ref="D86">_xlfn.IFS(C86&lt;35, "young", C86&lt;50, "middle age", C86&gt;=50, "old")</f>
        <v>middle age</v>
      </c>
      <c r="E86" s="1" t="s">
        <v>14</v>
      </c>
      <c r="F86" s="1">
        <v>7.5</v>
      </c>
      <c r="G86" s="1">
        <v>8</v>
      </c>
      <c r="H86" s="1">
        <v>60</v>
      </c>
      <c r="I86" s="1">
        <v>5</v>
      </c>
      <c r="J86" s="1" t="s">
        <v>19</v>
      </c>
      <c r="K86" s="1" t="s">
        <v>27</v>
      </c>
      <c r="L86" s="1">
        <f t="shared" si="2"/>
        <v>120</v>
      </c>
      <c r="M86" s="3">
        <f t="shared" si="3"/>
        <v>80</v>
      </c>
      <c r="N86" s="1">
        <v>70</v>
      </c>
      <c r="O86" s="1">
        <v>8000</v>
      </c>
      <c r="P86" s="1" t="s">
        <v>17</v>
      </c>
    </row>
    <row r="87" spans="1:16" ht="16.5">
      <c r="A87" s="1">
        <v>86</v>
      </c>
      <c r="B87" s="1" t="s">
        <v>28</v>
      </c>
      <c r="C87" s="1">
        <v>35</v>
      </c>
      <c r="D87" s="2" t="str" cm="1">
        <f t="array" ref="D87">_xlfn.IFS(C87&lt;35, "young", C87&lt;50, "middle age", C87&gt;=50, "old")</f>
        <v>middle age</v>
      </c>
      <c r="E87" s="1" t="s">
        <v>34</v>
      </c>
      <c r="F87" s="1">
        <v>7.2</v>
      </c>
      <c r="G87" s="1">
        <v>8</v>
      </c>
      <c r="H87" s="1">
        <v>60</v>
      </c>
      <c r="I87" s="1">
        <v>4</v>
      </c>
      <c r="J87" s="1" t="s">
        <v>19</v>
      </c>
      <c r="K87" s="1" t="s">
        <v>40</v>
      </c>
      <c r="L87" s="1">
        <f t="shared" si="2"/>
        <v>115</v>
      </c>
      <c r="M87" s="3">
        <f t="shared" si="3"/>
        <v>75</v>
      </c>
      <c r="N87" s="1">
        <v>68</v>
      </c>
      <c r="O87" s="1">
        <v>7000</v>
      </c>
      <c r="P87" s="1" t="s">
        <v>17</v>
      </c>
    </row>
    <row r="88" spans="1:16" ht="16.5">
      <c r="A88" s="1">
        <v>87</v>
      </c>
      <c r="B88" s="1" t="s">
        <v>13</v>
      </c>
      <c r="C88" s="1">
        <v>35</v>
      </c>
      <c r="D88" s="2" t="str" cm="1">
        <f t="array" ref="D88">_xlfn.IFS(C88&lt;35, "young", C88&lt;50, "middle age", C88&gt;=50, "old")</f>
        <v>middle age</v>
      </c>
      <c r="E88" s="1" t="s">
        <v>33</v>
      </c>
      <c r="F88" s="1">
        <v>7.2</v>
      </c>
      <c r="G88" s="1">
        <v>8</v>
      </c>
      <c r="H88" s="1">
        <v>60</v>
      </c>
      <c r="I88" s="1">
        <v>4</v>
      </c>
      <c r="J88" s="1" t="s">
        <v>19</v>
      </c>
      <c r="K88" s="1" t="s">
        <v>20</v>
      </c>
      <c r="L88" s="1">
        <f t="shared" si="2"/>
        <v>125</v>
      </c>
      <c r="M88" s="3">
        <f t="shared" si="3"/>
        <v>80</v>
      </c>
      <c r="N88" s="1">
        <v>65</v>
      </c>
      <c r="O88" s="1">
        <v>5000</v>
      </c>
      <c r="P88" s="1" t="s">
        <v>17</v>
      </c>
    </row>
    <row r="89" spans="1:16" ht="16.5">
      <c r="A89" s="1">
        <v>88</v>
      </c>
      <c r="B89" s="1" t="s">
        <v>13</v>
      </c>
      <c r="C89" s="1">
        <v>35</v>
      </c>
      <c r="D89" s="2" t="str" cm="1">
        <f t="array" ref="D89">_xlfn.IFS(C89&lt;35, "young", C89&lt;50, "middle age", C89&gt;=50, "old")</f>
        <v>middle age</v>
      </c>
      <c r="E89" s="1" t="s">
        <v>33</v>
      </c>
      <c r="F89" s="1">
        <v>7.2</v>
      </c>
      <c r="G89" s="1">
        <v>8</v>
      </c>
      <c r="H89" s="1">
        <v>60</v>
      </c>
      <c r="I89" s="1">
        <v>4</v>
      </c>
      <c r="J89" s="1" t="s">
        <v>19</v>
      </c>
      <c r="K89" s="1" t="s">
        <v>20</v>
      </c>
      <c r="L89" s="1">
        <f t="shared" si="2"/>
        <v>125</v>
      </c>
      <c r="M89" s="3">
        <f t="shared" si="3"/>
        <v>80</v>
      </c>
      <c r="N89" s="1">
        <v>65</v>
      </c>
      <c r="O89" s="1">
        <v>5000</v>
      </c>
      <c r="P89" s="1" t="s">
        <v>17</v>
      </c>
    </row>
    <row r="90" spans="1:16" ht="16.5">
      <c r="A90" s="1">
        <v>89</v>
      </c>
      <c r="B90" s="1" t="s">
        <v>13</v>
      </c>
      <c r="C90" s="1">
        <v>35</v>
      </c>
      <c r="D90" s="2" t="str" cm="1">
        <f t="array" ref="D90">_xlfn.IFS(C90&lt;35, "young", C90&lt;50, "middle age", C90&gt;=50, "old")</f>
        <v>middle age</v>
      </c>
      <c r="E90" s="1" t="s">
        <v>33</v>
      </c>
      <c r="F90" s="1">
        <v>7.3</v>
      </c>
      <c r="G90" s="1">
        <v>8</v>
      </c>
      <c r="H90" s="1">
        <v>60</v>
      </c>
      <c r="I90" s="1">
        <v>4</v>
      </c>
      <c r="J90" s="1" t="s">
        <v>19</v>
      </c>
      <c r="K90" s="1" t="s">
        <v>20</v>
      </c>
      <c r="L90" s="1">
        <f t="shared" si="2"/>
        <v>125</v>
      </c>
      <c r="M90" s="3">
        <f t="shared" si="3"/>
        <v>80</v>
      </c>
      <c r="N90" s="1">
        <v>65</v>
      </c>
      <c r="O90" s="1">
        <v>5000</v>
      </c>
      <c r="P90" s="1" t="s">
        <v>17</v>
      </c>
    </row>
    <row r="91" spans="1:16" ht="16.5">
      <c r="A91" s="1">
        <v>90</v>
      </c>
      <c r="B91" s="1" t="s">
        <v>13</v>
      </c>
      <c r="C91" s="1">
        <v>35</v>
      </c>
      <c r="D91" s="2" t="str" cm="1">
        <f t="array" ref="D91">_xlfn.IFS(C91&lt;35, "young", C91&lt;50, "middle age", C91&gt;=50, "old")</f>
        <v>middle age</v>
      </c>
      <c r="E91" s="1" t="s">
        <v>33</v>
      </c>
      <c r="F91" s="1">
        <v>7.3</v>
      </c>
      <c r="G91" s="1">
        <v>8</v>
      </c>
      <c r="H91" s="1">
        <v>60</v>
      </c>
      <c r="I91" s="1">
        <v>4</v>
      </c>
      <c r="J91" s="1" t="s">
        <v>19</v>
      </c>
      <c r="K91" s="1" t="s">
        <v>20</v>
      </c>
      <c r="L91" s="1">
        <f t="shared" si="2"/>
        <v>125</v>
      </c>
      <c r="M91" s="3">
        <f t="shared" si="3"/>
        <v>80</v>
      </c>
      <c r="N91" s="1">
        <v>65</v>
      </c>
      <c r="O91" s="1">
        <v>5000</v>
      </c>
      <c r="P91" s="1" t="s">
        <v>17</v>
      </c>
    </row>
    <row r="92" spans="1:16" ht="16.5">
      <c r="A92" s="1">
        <v>91</v>
      </c>
      <c r="B92" s="1" t="s">
        <v>13</v>
      </c>
      <c r="C92" s="1">
        <v>35</v>
      </c>
      <c r="D92" s="2" t="str" cm="1">
        <f t="array" ref="D92">_xlfn.IFS(C92&lt;35, "young", C92&lt;50, "middle age", C92&gt;=50, "old")</f>
        <v>middle age</v>
      </c>
      <c r="E92" s="1" t="s">
        <v>33</v>
      </c>
      <c r="F92" s="1">
        <v>7.3</v>
      </c>
      <c r="G92" s="1">
        <v>8</v>
      </c>
      <c r="H92" s="1">
        <v>60</v>
      </c>
      <c r="I92" s="1">
        <v>4</v>
      </c>
      <c r="J92" s="1" t="s">
        <v>19</v>
      </c>
      <c r="K92" s="1" t="s">
        <v>20</v>
      </c>
      <c r="L92" s="1">
        <f t="shared" si="2"/>
        <v>125</v>
      </c>
      <c r="M92" s="3">
        <f t="shared" si="3"/>
        <v>80</v>
      </c>
      <c r="N92" s="1">
        <v>65</v>
      </c>
      <c r="O92" s="1">
        <v>5000</v>
      </c>
      <c r="P92" s="1" t="s">
        <v>17</v>
      </c>
    </row>
    <row r="93" spans="1:16" ht="16.5">
      <c r="A93" s="1">
        <v>92</v>
      </c>
      <c r="B93" s="1" t="s">
        <v>13</v>
      </c>
      <c r="C93" s="1">
        <v>35</v>
      </c>
      <c r="D93" s="2" t="str" cm="1">
        <f t="array" ref="D93">_xlfn.IFS(C93&lt;35, "young", C93&lt;50, "middle age", C93&gt;=50, "old")</f>
        <v>middle age</v>
      </c>
      <c r="E93" s="1" t="s">
        <v>33</v>
      </c>
      <c r="F93" s="1">
        <v>7.3</v>
      </c>
      <c r="G93" s="1">
        <v>8</v>
      </c>
      <c r="H93" s="1">
        <v>60</v>
      </c>
      <c r="I93" s="1">
        <v>4</v>
      </c>
      <c r="J93" s="1" t="s">
        <v>19</v>
      </c>
      <c r="K93" s="1" t="s">
        <v>20</v>
      </c>
      <c r="L93" s="1">
        <f t="shared" si="2"/>
        <v>125</v>
      </c>
      <c r="M93" s="3">
        <f t="shared" si="3"/>
        <v>80</v>
      </c>
      <c r="N93" s="1">
        <v>65</v>
      </c>
      <c r="O93" s="1">
        <v>5000</v>
      </c>
      <c r="P93" s="1" t="s">
        <v>17</v>
      </c>
    </row>
    <row r="94" spans="1:16" ht="16.5">
      <c r="A94" s="1">
        <v>93</v>
      </c>
      <c r="B94" s="1" t="s">
        <v>13</v>
      </c>
      <c r="C94" s="1">
        <v>35</v>
      </c>
      <c r="D94" s="2" t="str" cm="1">
        <f t="array" ref="D94">_xlfn.IFS(C94&lt;35, "young", C94&lt;50, "middle age", C94&gt;=50, "old")</f>
        <v>middle age</v>
      </c>
      <c r="E94" s="1" t="s">
        <v>14</v>
      </c>
      <c r="F94" s="1">
        <v>7.5</v>
      </c>
      <c r="G94" s="1">
        <v>8</v>
      </c>
      <c r="H94" s="1">
        <v>60</v>
      </c>
      <c r="I94" s="1">
        <v>5</v>
      </c>
      <c r="J94" s="1" t="s">
        <v>19</v>
      </c>
      <c r="K94" s="1" t="s">
        <v>27</v>
      </c>
      <c r="L94" s="1">
        <f t="shared" si="2"/>
        <v>120</v>
      </c>
      <c r="M94" s="3">
        <f t="shared" si="3"/>
        <v>80</v>
      </c>
      <c r="N94" s="1">
        <v>70</v>
      </c>
      <c r="O94" s="1">
        <v>8000</v>
      </c>
      <c r="P94" s="1" t="s">
        <v>17</v>
      </c>
    </row>
    <row r="95" spans="1:16" ht="16.5">
      <c r="A95" s="1">
        <v>94</v>
      </c>
      <c r="B95" s="1" t="s">
        <v>13</v>
      </c>
      <c r="C95" s="1">
        <v>35</v>
      </c>
      <c r="D95" s="2" t="str" cm="1">
        <f t="array" ref="D95">_xlfn.IFS(C95&lt;35, "young", C95&lt;50, "middle age", C95&gt;=50, "old")</f>
        <v>middle age</v>
      </c>
      <c r="E95" s="1" t="s">
        <v>41</v>
      </c>
      <c r="F95" s="1">
        <v>7.4</v>
      </c>
      <c r="G95" s="1">
        <v>7</v>
      </c>
      <c r="H95" s="1">
        <v>60</v>
      </c>
      <c r="I95" s="1">
        <v>5</v>
      </c>
      <c r="J95" s="1" t="s">
        <v>22</v>
      </c>
      <c r="K95" s="1" t="s">
        <v>42</v>
      </c>
      <c r="L95" s="1">
        <f t="shared" si="2"/>
        <v>135</v>
      </c>
      <c r="M95" s="3">
        <f t="shared" si="3"/>
        <v>88</v>
      </c>
      <c r="N95" s="1">
        <v>84</v>
      </c>
      <c r="O95" s="1">
        <v>3300</v>
      </c>
      <c r="P95" s="1" t="s">
        <v>24</v>
      </c>
    </row>
    <row r="96" spans="1:16" ht="16.5">
      <c r="A96" s="1">
        <v>95</v>
      </c>
      <c r="B96" s="1" t="s">
        <v>28</v>
      </c>
      <c r="C96" s="1">
        <v>36</v>
      </c>
      <c r="D96" s="2" t="str" cm="1">
        <f t="array" ref="D96">_xlfn.IFS(C96&lt;35, "young", C96&lt;50, "middle age", C96&gt;=50, "old")</f>
        <v>middle age</v>
      </c>
      <c r="E96" s="1" t="s">
        <v>34</v>
      </c>
      <c r="F96" s="1">
        <v>7.2</v>
      </c>
      <c r="G96" s="1">
        <v>8</v>
      </c>
      <c r="H96" s="1">
        <v>60</v>
      </c>
      <c r="I96" s="1">
        <v>4</v>
      </c>
      <c r="J96" s="1" t="s">
        <v>19</v>
      </c>
      <c r="K96" s="1" t="s">
        <v>40</v>
      </c>
      <c r="L96" s="1">
        <f t="shared" si="2"/>
        <v>115</v>
      </c>
      <c r="M96" s="3">
        <f t="shared" si="3"/>
        <v>75</v>
      </c>
      <c r="N96" s="1">
        <v>68</v>
      </c>
      <c r="O96" s="1">
        <v>7000</v>
      </c>
      <c r="P96" s="1" t="s">
        <v>25</v>
      </c>
    </row>
    <row r="97" spans="1:16" ht="16.5">
      <c r="A97" s="1">
        <v>96</v>
      </c>
      <c r="B97" s="1" t="s">
        <v>28</v>
      </c>
      <c r="C97" s="1">
        <v>36</v>
      </c>
      <c r="D97" s="2" t="str" cm="1">
        <f t="array" ref="D97">_xlfn.IFS(C97&lt;35, "young", C97&lt;50, "middle age", C97&gt;=50, "old")</f>
        <v>middle age</v>
      </c>
      <c r="E97" s="1" t="s">
        <v>34</v>
      </c>
      <c r="F97" s="1">
        <v>7.1</v>
      </c>
      <c r="G97" s="1">
        <v>8</v>
      </c>
      <c r="H97" s="1">
        <v>60</v>
      </c>
      <c r="I97" s="1">
        <v>4</v>
      </c>
      <c r="J97" s="1" t="s">
        <v>19</v>
      </c>
      <c r="K97" s="1" t="s">
        <v>40</v>
      </c>
      <c r="L97" s="1">
        <f t="shared" si="2"/>
        <v>115</v>
      </c>
      <c r="M97" s="3">
        <f t="shared" si="3"/>
        <v>75</v>
      </c>
      <c r="N97" s="1">
        <v>68</v>
      </c>
      <c r="O97" s="1">
        <v>7000</v>
      </c>
      <c r="P97" s="1" t="s">
        <v>17</v>
      </c>
    </row>
    <row r="98" spans="1:16" ht="16.5">
      <c r="A98" s="1">
        <v>97</v>
      </c>
      <c r="B98" s="1" t="s">
        <v>28</v>
      </c>
      <c r="C98" s="1">
        <v>36</v>
      </c>
      <c r="D98" s="2" t="str" cm="1">
        <f t="array" ref="D98">_xlfn.IFS(C98&lt;35, "young", C98&lt;50, "middle age", C98&gt;=50, "old")</f>
        <v>middle age</v>
      </c>
      <c r="E98" s="1" t="s">
        <v>34</v>
      </c>
      <c r="F98" s="1">
        <v>7.2</v>
      </c>
      <c r="G98" s="1">
        <v>8</v>
      </c>
      <c r="H98" s="1">
        <v>60</v>
      </c>
      <c r="I98" s="1">
        <v>4</v>
      </c>
      <c r="J98" s="1" t="s">
        <v>19</v>
      </c>
      <c r="K98" s="1" t="s">
        <v>40</v>
      </c>
      <c r="L98" s="1">
        <f t="shared" si="2"/>
        <v>115</v>
      </c>
      <c r="M98" s="3">
        <f t="shared" si="3"/>
        <v>75</v>
      </c>
      <c r="N98" s="1">
        <v>68</v>
      </c>
      <c r="O98" s="1">
        <v>7000</v>
      </c>
      <c r="P98" s="1" t="s">
        <v>17</v>
      </c>
    </row>
    <row r="99" spans="1:16" ht="16.5">
      <c r="A99" s="1">
        <v>98</v>
      </c>
      <c r="B99" s="1" t="s">
        <v>28</v>
      </c>
      <c r="C99" s="1">
        <v>36</v>
      </c>
      <c r="D99" s="2" t="str" cm="1">
        <f t="array" ref="D99">_xlfn.IFS(C99&lt;35, "young", C99&lt;50, "middle age", C99&gt;=50, "old")</f>
        <v>middle age</v>
      </c>
      <c r="E99" s="1" t="s">
        <v>34</v>
      </c>
      <c r="F99" s="1">
        <v>7.1</v>
      </c>
      <c r="G99" s="1">
        <v>8</v>
      </c>
      <c r="H99" s="1">
        <v>60</v>
      </c>
      <c r="I99" s="1">
        <v>4</v>
      </c>
      <c r="J99" s="1" t="s">
        <v>19</v>
      </c>
      <c r="K99" s="1" t="s">
        <v>40</v>
      </c>
      <c r="L99" s="1">
        <f t="shared" si="2"/>
        <v>115</v>
      </c>
      <c r="M99" s="3">
        <f t="shared" si="3"/>
        <v>75</v>
      </c>
      <c r="N99" s="1">
        <v>68</v>
      </c>
      <c r="O99" s="1">
        <v>7000</v>
      </c>
      <c r="P99" s="1" t="s">
        <v>17</v>
      </c>
    </row>
    <row r="100" spans="1:16" ht="16.5">
      <c r="A100" s="1">
        <v>99</v>
      </c>
      <c r="B100" s="1" t="s">
        <v>28</v>
      </c>
      <c r="C100" s="1">
        <v>36</v>
      </c>
      <c r="D100" s="2" t="str" cm="1">
        <f t="array" ref="D100">_xlfn.IFS(C100&lt;35, "young", C100&lt;50, "middle age", C100&gt;=50, "old")</f>
        <v>middle age</v>
      </c>
      <c r="E100" s="1" t="s">
        <v>26</v>
      </c>
      <c r="F100" s="1">
        <v>7.1</v>
      </c>
      <c r="G100" s="1">
        <v>8</v>
      </c>
      <c r="H100" s="1">
        <v>60</v>
      </c>
      <c r="I100" s="1">
        <v>4</v>
      </c>
      <c r="J100" s="1" t="s">
        <v>19</v>
      </c>
      <c r="K100" s="1" t="s">
        <v>40</v>
      </c>
      <c r="L100" s="1">
        <f t="shared" si="2"/>
        <v>115</v>
      </c>
      <c r="M100" s="3">
        <f t="shared" si="3"/>
        <v>75</v>
      </c>
      <c r="N100" s="1">
        <v>68</v>
      </c>
      <c r="O100" s="1">
        <v>7000</v>
      </c>
      <c r="P100" s="1" t="s">
        <v>17</v>
      </c>
    </row>
    <row r="101" spans="1:16" ht="16.5">
      <c r="A101" s="1">
        <v>100</v>
      </c>
      <c r="B101" s="1" t="s">
        <v>28</v>
      </c>
      <c r="C101" s="1">
        <v>36</v>
      </c>
      <c r="D101" s="2" t="str" cm="1">
        <f t="array" ref="D101">_xlfn.IFS(C101&lt;35, "young", C101&lt;50, "middle age", C101&gt;=50, "old")</f>
        <v>middle age</v>
      </c>
      <c r="E101" s="1" t="s">
        <v>26</v>
      </c>
      <c r="F101" s="1">
        <v>7.1</v>
      </c>
      <c r="G101" s="1">
        <v>8</v>
      </c>
      <c r="H101" s="1">
        <v>60</v>
      </c>
      <c r="I101" s="1">
        <v>4</v>
      </c>
      <c r="J101" s="1" t="s">
        <v>19</v>
      </c>
      <c r="K101" s="1" t="s">
        <v>40</v>
      </c>
      <c r="L101" s="1">
        <f t="shared" si="2"/>
        <v>115</v>
      </c>
      <c r="M101" s="3">
        <f t="shared" si="3"/>
        <v>75</v>
      </c>
      <c r="N101" s="1">
        <v>68</v>
      </c>
      <c r="O101" s="1">
        <v>7000</v>
      </c>
      <c r="P101" s="1" t="s">
        <v>17</v>
      </c>
    </row>
    <row r="102" spans="1:16" ht="16.5">
      <c r="A102" s="1">
        <v>101</v>
      </c>
      <c r="B102" s="1" t="s">
        <v>28</v>
      </c>
      <c r="C102" s="1">
        <v>36</v>
      </c>
      <c r="D102" s="2" t="str" cm="1">
        <f t="array" ref="D102">_xlfn.IFS(C102&lt;35, "young", C102&lt;50, "middle age", C102&gt;=50, "old")</f>
        <v>middle age</v>
      </c>
      <c r="E102" s="1" t="s">
        <v>26</v>
      </c>
      <c r="F102" s="1">
        <v>7.2</v>
      </c>
      <c r="G102" s="1">
        <v>8</v>
      </c>
      <c r="H102" s="1">
        <v>60</v>
      </c>
      <c r="I102" s="1">
        <v>4</v>
      </c>
      <c r="J102" s="1" t="s">
        <v>19</v>
      </c>
      <c r="K102" s="1" t="s">
        <v>40</v>
      </c>
      <c r="L102" s="1">
        <f t="shared" si="2"/>
        <v>115</v>
      </c>
      <c r="M102" s="3">
        <f t="shared" si="3"/>
        <v>75</v>
      </c>
      <c r="N102" s="1">
        <v>68</v>
      </c>
      <c r="O102" s="1">
        <v>7000</v>
      </c>
      <c r="P102" s="1" t="s">
        <v>17</v>
      </c>
    </row>
    <row r="103" spans="1:16" ht="16.5">
      <c r="A103" s="1">
        <v>102</v>
      </c>
      <c r="B103" s="1" t="s">
        <v>28</v>
      </c>
      <c r="C103" s="1">
        <v>36</v>
      </c>
      <c r="D103" s="2" t="str" cm="1">
        <f t="array" ref="D103">_xlfn.IFS(C103&lt;35, "young", C103&lt;50, "middle age", C103&gt;=50, "old")</f>
        <v>middle age</v>
      </c>
      <c r="E103" s="1" t="s">
        <v>26</v>
      </c>
      <c r="F103" s="1">
        <v>7.2</v>
      </c>
      <c r="G103" s="1">
        <v>8</v>
      </c>
      <c r="H103" s="1">
        <v>60</v>
      </c>
      <c r="I103" s="1">
        <v>4</v>
      </c>
      <c r="J103" s="1" t="s">
        <v>19</v>
      </c>
      <c r="K103" s="1" t="s">
        <v>40</v>
      </c>
      <c r="L103" s="1">
        <f t="shared" si="2"/>
        <v>115</v>
      </c>
      <c r="M103" s="3">
        <f t="shared" si="3"/>
        <v>75</v>
      </c>
      <c r="N103" s="1">
        <v>68</v>
      </c>
      <c r="O103" s="1">
        <v>7000</v>
      </c>
      <c r="P103" s="1" t="s">
        <v>17</v>
      </c>
    </row>
    <row r="104" spans="1:16" ht="16.5">
      <c r="A104" s="1">
        <v>103</v>
      </c>
      <c r="B104" s="1" t="s">
        <v>28</v>
      </c>
      <c r="C104" s="1">
        <v>36</v>
      </c>
      <c r="D104" s="2" t="str" cm="1">
        <f t="array" ref="D104">_xlfn.IFS(C104&lt;35, "young", C104&lt;50, "middle age", C104&gt;=50, "old")</f>
        <v>middle age</v>
      </c>
      <c r="E104" s="1" t="s">
        <v>26</v>
      </c>
      <c r="F104" s="1">
        <v>7.2</v>
      </c>
      <c r="G104" s="1">
        <v>8</v>
      </c>
      <c r="H104" s="1">
        <v>60</v>
      </c>
      <c r="I104" s="1">
        <v>4</v>
      </c>
      <c r="J104" s="1" t="s">
        <v>19</v>
      </c>
      <c r="K104" s="1" t="s">
        <v>40</v>
      </c>
      <c r="L104" s="1">
        <f t="shared" si="2"/>
        <v>115</v>
      </c>
      <c r="M104" s="3">
        <f t="shared" si="3"/>
        <v>75</v>
      </c>
      <c r="N104" s="1">
        <v>68</v>
      </c>
      <c r="O104" s="1">
        <v>7000</v>
      </c>
      <c r="P104" s="1" t="s">
        <v>17</v>
      </c>
    </row>
    <row r="105" spans="1:16" ht="16.5">
      <c r="A105" s="1">
        <v>104</v>
      </c>
      <c r="B105" s="1" t="s">
        <v>13</v>
      </c>
      <c r="C105" s="1">
        <v>36</v>
      </c>
      <c r="D105" s="2" t="str" cm="1">
        <f t="array" ref="D105">_xlfn.IFS(C105&lt;35, "young", C105&lt;50, "middle age", C105&gt;=50, "old")</f>
        <v>middle age</v>
      </c>
      <c r="E105" s="1" t="s">
        <v>26</v>
      </c>
      <c r="F105" s="1">
        <v>6.6</v>
      </c>
      <c r="G105" s="1">
        <v>5</v>
      </c>
      <c r="H105" s="1">
        <v>35</v>
      </c>
      <c r="I105" s="1">
        <v>7</v>
      </c>
      <c r="J105" s="1" t="s">
        <v>15</v>
      </c>
      <c r="K105" s="1" t="s">
        <v>43</v>
      </c>
      <c r="L105" s="1">
        <f t="shared" si="2"/>
        <v>129</v>
      </c>
      <c r="M105" s="3">
        <f t="shared" si="3"/>
        <v>84</v>
      </c>
      <c r="N105" s="1">
        <v>74</v>
      </c>
      <c r="O105" s="1">
        <v>4800</v>
      </c>
      <c r="P105" s="1" t="s">
        <v>24</v>
      </c>
    </row>
    <row r="106" spans="1:16" ht="16.5">
      <c r="A106" s="1">
        <v>105</v>
      </c>
      <c r="B106" s="1" t="s">
        <v>28</v>
      </c>
      <c r="C106" s="1">
        <v>36</v>
      </c>
      <c r="D106" s="2" t="str" cm="1">
        <f t="array" ref="D106">_xlfn.IFS(C106&lt;35, "young", C106&lt;50, "middle age", C106&gt;=50, "old")</f>
        <v>middle age</v>
      </c>
      <c r="E106" s="1" t="s">
        <v>26</v>
      </c>
      <c r="F106" s="1">
        <v>7.2</v>
      </c>
      <c r="G106" s="1">
        <v>8</v>
      </c>
      <c r="H106" s="1">
        <v>60</v>
      </c>
      <c r="I106" s="1">
        <v>4</v>
      </c>
      <c r="J106" s="1" t="s">
        <v>19</v>
      </c>
      <c r="K106" s="1" t="s">
        <v>40</v>
      </c>
      <c r="L106" s="1">
        <f t="shared" si="2"/>
        <v>115</v>
      </c>
      <c r="M106" s="3">
        <f t="shared" si="3"/>
        <v>75</v>
      </c>
      <c r="N106" s="1">
        <v>68</v>
      </c>
      <c r="O106" s="1">
        <v>7000</v>
      </c>
      <c r="P106" s="1" t="s">
        <v>24</v>
      </c>
    </row>
    <row r="107" spans="1:16" ht="16.5">
      <c r="A107" s="1">
        <v>106</v>
      </c>
      <c r="B107" s="1" t="s">
        <v>13</v>
      </c>
      <c r="C107" s="1">
        <v>36</v>
      </c>
      <c r="D107" s="2" t="str" cm="1">
        <f t="array" ref="D107">_xlfn.IFS(C107&lt;35, "young", C107&lt;50, "middle age", C107&gt;=50, "old")</f>
        <v>middle age</v>
      </c>
      <c r="E107" s="1" t="s">
        <v>26</v>
      </c>
      <c r="F107" s="1">
        <v>6.6</v>
      </c>
      <c r="G107" s="1">
        <v>5</v>
      </c>
      <c r="H107" s="1">
        <v>35</v>
      </c>
      <c r="I107" s="1">
        <v>7</v>
      </c>
      <c r="J107" s="1" t="s">
        <v>15</v>
      </c>
      <c r="K107" s="1" t="s">
        <v>43</v>
      </c>
      <c r="L107" s="1">
        <f t="shared" si="2"/>
        <v>129</v>
      </c>
      <c r="M107" s="3">
        <f t="shared" si="3"/>
        <v>84</v>
      </c>
      <c r="N107" s="1">
        <v>74</v>
      </c>
      <c r="O107" s="1">
        <v>4800</v>
      </c>
      <c r="P107" s="1" t="s">
        <v>25</v>
      </c>
    </row>
    <row r="108" spans="1:16" ht="16.5">
      <c r="A108" s="1">
        <v>107</v>
      </c>
      <c r="B108" s="1" t="s">
        <v>28</v>
      </c>
      <c r="C108" s="1">
        <v>37</v>
      </c>
      <c r="D108" s="2" t="str" cm="1">
        <f t="array" ref="D108">_xlfn.IFS(C108&lt;35, "young", C108&lt;50, "middle age", C108&gt;=50, "old")</f>
        <v>middle age</v>
      </c>
      <c r="E108" s="1" t="s">
        <v>29</v>
      </c>
      <c r="F108" s="1">
        <v>6.1</v>
      </c>
      <c r="G108" s="1">
        <v>6</v>
      </c>
      <c r="H108" s="1">
        <v>42</v>
      </c>
      <c r="I108" s="1">
        <v>6</v>
      </c>
      <c r="J108" s="1" t="s">
        <v>15</v>
      </c>
      <c r="K108" s="1" t="s">
        <v>16</v>
      </c>
      <c r="L108" s="1">
        <f t="shared" si="2"/>
        <v>126</v>
      </c>
      <c r="M108" s="3">
        <f t="shared" si="3"/>
        <v>83</v>
      </c>
      <c r="N108" s="1">
        <v>77</v>
      </c>
      <c r="O108" s="1">
        <v>4200</v>
      </c>
      <c r="P108" s="1" t="s">
        <v>17</v>
      </c>
    </row>
    <row r="109" spans="1:16" ht="16.5">
      <c r="A109" s="1">
        <v>108</v>
      </c>
      <c r="B109" s="1" t="s">
        <v>13</v>
      </c>
      <c r="C109" s="1">
        <v>37</v>
      </c>
      <c r="D109" s="2" t="str" cm="1">
        <f t="array" ref="D109">_xlfn.IFS(C109&lt;35, "young", C109&lt;50, "middle age", C109&gt;=50, "old")</f>
        <v>middle age</v>
      </c>
      <c r="E109" s="1" t="s">
        <v>33</v>
      </c>
      <c r="F109" s="1">
        <v>7.8</v>
      </c>
      <c r="G109" s="1">
        <v>8</v>
      </c>
      <c r="H109" s="1">
        <v>70</v>
      </c>
      <c r="I109" s="1">
        <v>4</v>
      </c>
      <c r="J109" s="1" t="s">
        <v>19</v>
      </c>
      <c r="K109" s="1" t="s">
        <v>27</v>
      </c>
      <c r="L109" s="1">
        <f t="shared" si="2"/>
        <v>120</v>
      </c>
      <c r="M109" s="3">
        <f t="shared" si="3"/>
        <v>80</v>
      </c>
      <c r="N109" s="1">
        <v>68</v>
      </c>
      <c r="O109" s="1">
        <v>7000</v>
      </c>
      <c r="P109" s="1" t="s">
        <v>17</v>
      </c>
    </row>
    <row r="110" spans="1:16" ht="16.5">
      <c r="A110" s="1">
        <v>109</v>
      </c>
      <c r="B110" s="1" t="s">
        <v>13</v>
      </c>
      <c r="C110" s="1">
        <v>37</v>
      </c>
      <c r="D110" s="2" t="str" cm="1">
        <f t="array" ref="D110">_xlfn.IFS(C110&lt;35, "young", C110&lt;50, "middle age", C110&gt;=50, "old")</f>
        <v>middle age</v>
      </c>
      <c r="E110" s="1" t="s">
        <v>33</v>
      </c>
      <c r="F110" s="1">
        <v>7.8</v>
      </c>
      <c r="G110" s="1">
        <v>8</v>
      </c>
      <c r="H110" s="1">
        <v>70</v>
      </c>
      <c r="I110" s="1">
        <v>4</v>
      </c>
      <c r="J110" s="1" t="s">
        <v>19</v>
      </c>
      <c r="K110" s="1" t="s">
        <v>27</v>
      </c>
      <c r="L110" s="1">
        <f t="shared" si="2"/>
        <v>120</v>
      </c>
      <c r="M110" s="3">
        <f t="shared" si="3"/>
        <v>80</v>
      </c>
      <c r="N110" s="1">
        <v>68</v>
      </c>
      <c r="O110" s="1">
        <v>7000</v>
      </c>
      <c r="P110" s="1" t="s">
        <v>17</v>
      </c>
    </row>
    <row r="111" spans="1:16" ht="16.5">
      <c r="A111" s="1">
        <v>110</v>
      </c>
      <c r="B111" s="1" t="s">
        <v>13</v>
      </c>
      <c r="C111" s="1">
        <v>37</v>
      </c>
      <c r="D111" s="2" t="str" cm="1">
        <f t="array" ref="D111">_xlfn.IFS(C111&lt;35, "young", C111&lt;50, "middle age", C111&gt;=50, "old")</f>
        <v>middle age</v>
      </c>
      <c r="E111" s="1" t="s">
        <v>41</v>
      </c>
      <c r="F111" s="1">
        <v>7.4</v>
      </c>
      <c r="G111" s="1">
        <v>8</v>
      </c>
      <c r="H111" s="1">
        <v>60</v>
      </c>
      <c r="I111" s="1">
        <v>5</v>
      </c>
      <c r="J111" s="1" t="s">
        <v>19</v>
      </c>
      <c r="K111" s="1" t="s">
        <v>44</v>
      </c>
      <c r="L111" s="1">
        <f t="shared" si="2"/>
        <v>130</v>
      </c>
      <c r="M111" s="3">
        <f t="shared" si="3"/>
        <v>85</v>
      </c>
      <c r="N111" s="1">
        <v>68</v>
      </c>
      <c r="O111" s="1">
        <v>8000</v>
      </c>
      <c r="P111" s="1" t="s">
        <v>17</v>
      </c>
    </row>
    <row r="112" spans="1:16" ht="16.5">
      <c r="A112" s="1">
        <v>111</v>
      </c>
      <c r="B112" s="1" t="s">
        <v>28</v>
      </c>
      <c r="C112" s="1">
        <v>37</v>
      </c>
      <c r="D112" s="2" t="str" cm="1">
        <f t="array" ref="D112">_xlfn.IFS(C112&lt;35, "young", C112&lt;50, "middle age", C112&gt;=50, "old")</f>
        <v>middle age</v>
      </c>
      <c r="E112" s="1" t="s">
        <v>34</v>
      </c>
      <c r="F112" s="1">
        <v>7.2</v>
      </c>
      <c r="G112" s="1">
        <v>8</v>
      </c>
      <c r="H112" s="1">
        <v>60</v>
      </c>
      <c r="I112" s="1">
        <v>4</v>
      </c>
      <c r="J112" s="1" t="s">
        <v>19</v>
      </c>
      <c r="K112" s="1" t="s">
        <v>40</v>
      </c>
      <c r="L112" s="1">
        <f t="shared" si="2"/>
        <v>115</v>
      </c>
      <c r="M112" s="3">
        <f t="shared" si="3"/>
        <v>75</v>
      </c>
      <c r="N112" s="1">
        <v>68</v>
      </c>
      <c r="O112" s="1">
        <v>7000</v>
      </c>
      <c r="P112" s="1" t="s">
        <v>17</v>
      </c>
    </row>
    <row r="113" spans="1:16" ht="16.5">
      <c r="A113" s="1">
        <v>112</v>
      </c>
      <c r="B113" s="1" t="s">
        <v>13</v>
      </c>
      <c r="C113" s="1">
        <v>37</v>
      </c>
      <c r="D113" s="2" t="str" cm="1">
        <f t="array" ref="D113">_xlfn.IFS(C113&lt;35, "young", C113&lt;50, "middle age", C113&gt;=50, "old")</f>
        <v>middle age</v>
      </c>
      <c r="E113" s="1" t="s">
        <v>41</v>
      </c>
      <c r="F113" s="1">
        <v>7.4</v>
      </c>
      <c r="G113" s="1">
        <v>8</v>
      </c>
      <c r="H113" s="1">
        <v>60</v>
      </c>
      <c r="I113" s="1">
        <v>5</v>
      </c>
      <c r="J113" s="1" t="s">
        <v>19</v>
      </c>
      <c r="K113" s="1" t="s">
        <v>44</v>
      </c>
      <c r="L113" s="1">
        <f t="shared" si="2"/>
        <v>130</v>
      </c>
      <c r="M113" s="3">
        <f t="shared" si="3"/>
        <v>85</v>
      </c>
      <c r="N113" s="1">
        <v>68</v>
      </c>
      <c r="O113" s="1">
        <v>8000</v>
      </c>
      <c r="P113" s="1" t="s">
        <v>17</v>
      </c>
    </row>
    <row r="114" spans="1:16" ht="16.5">
      <c r="A114" s="1">
        <v>113</v>
      </c>
      <c r="B114" s="1" t="s">
        <v>28</v>
      </c>
      <c r="C114" s="1">
        <v>37</v>
      </c>
      <c r="D114" s="2" t="str" cm="1">
        <f t="array" ref="D114">_xlfn.IFS(C114&lt;35, "young", C114&lt;50, "middle age", C114&gt;=50, "old")</f>
        <v>middle age</v>
      </c>
      <c r="E114" s="1" t="s">
        <v>34</v>
      </c>
      <c r="F114" s="1">
        <v>7.2</v>
      </c>
      <c r="G114" s="1">
        <v>8</v>
      </c>
      <c r="H114" s="1">
        <v>60</v>
      </c>
      <c r="I114" s="1">
        <v>4</v>
      </c>
      <c r="J114" s="1" t="s">
        <v>19</v>
      </c>
      <c r="K114" s="1" t="s">
        <v>40</v>
      </c>
      <c r="L114" s="1">
        <f t="shared" si="2"/>
        <v>115</v>
      </c>
      <c r="M114" s="3">
        <f t="shared" si="3"/>
        <v>75</v>
      </c>
      <c r="N114" s="1">
        <v>68</v>
      </c>
      <c r="O114" s="1">
        <v>7000</v>
      </c>
      <c r="P114" s="1" t="s">
        <v>17</v>
      </c>
    </row>
    <row r="115" spans="1:16" ht="16.5">
      <c r="A115" s="1">
        <v>114</v>
      </c>
      <c r="B115" s="1" t="s">
        <v>13</v>
      </c>
      <c r="C115" s="1">
        <v>37</v>
      </c>
      <c r="D115" s="2" t="str" cm="1">
        <f t="array" ref="D115">_xlfn.IFS(C115&lt;35, "young", C115&lt;50, "middle age", C115&gt;=50, "old")</f>
        <v>middle age</v>
      </c>
      <c r="E115" s="1" t="s">
        <v>41</v>
      </c>
      <c r="F115" s="1">
        <v>7.4</v>
      </c>
      <c r="G115" s="1">
        <v>8</v>
      </c>
      <c r="H115" s="1">
        <v>60</v>
      </c>
      <c r="I115" s="1">
        <v>5</v>
      </c>
      <c r="J115" s="1" t="s">
        <v>19</v>
      </c>
      <c r="K115" s="1" t="s">
        <v>44</v>
      </c>
      <c r="L115" s="1">
        <f t="shared" si="2"/>
        <v>130</v>
      </c>
      <c r="M115" s="3">
        <f t="shared" si="3"/>
        <v>85</v>
      </c>
      <c r="N115" s="1">
        <v>68</v>
      </c>
      <c r="O115" s="1">
        <v>8000</v>
      </c>
      <c r="P115" s="1" t="s">
        <v>17</v>
      </c>
    </row>
    <row r="116" spans="1:16" ht="16.5">
      <c r="A116" s="1">
        <v>115</v>
      </c>
      <c r="B116" s="1" t="s">
        <v>28</v>
      </c>
      <c r="C116" s="1">
        <v>37</v>
      </c>
      <c r="D116" s="2" t="str" cm="1">
        <f t="array" ref="D116">_xlfn.IFS(C116&lt;35, "young", C116&lt;50, "middle age", C116&gt;=50, "old")</f>
        <v>middle age</v>
      </c>
      <c r="E116" s="1" t="s">
        <v>34</v>
      </c>
      <c r="F116" s="1">
        <v>7.2</v>
      </c>
      <c r="G116" s="1">
        <v>8</v>
      </c>
      <c r="H116" s="1">
        <v>60</v>
      </c>
      <c r="I116" s="1">
        <v>4</v>
      </c>
      <c r="J116" s="1" t="s">
        <v>19</v>
      </c>
      <c r="K116" s="1" t="s">
        <v>40</v>
      </c>
      <c r="L116" s="1">
        <f t="shared" si="2"/>
        <v>115</v>
      </c>
      <c r="M116" s="3">
        <f t="shared" si="3"/>
        <v>75</v>
      </c>
      <c r="N116" s="1">
        <v>68</v>
      </c>
      <c r="O116" s="1">
        <v>7000</v>
      </c>
      <c r="P116" s="1" t="s">
        <v>17</v>
      </c>
    </row>
    <row r="117" spans="1:16" ht="16.5">
      <c r="A117" s="1">
        <v>116</v>
      </c>
      <c r="B117" s="1" t="s">
        <v>28</v>
      </c>
      <c r="C117" s="1">
        <v>37</v>
      </c>
      <c r="D117" s="2" t="str" cm="1">
        <f t="array" ref="D117">_xlfn.IFS(C117&lt;35, "young", C117&lt;50, "middle age", C117&gt;=50, "old")</f>
        <v>middle age</v>
      </c>
      <c r="E117" s="1" t="s">
        <v>34</v>
      </c>
      <c r="F117" s="1">
        <v>7.2</v>
      </c>
      <c r="G117" s="1">
        <v>8</v>
      </c>
      <c r="H117" s="1">
        <v>60</v>
      </c>
      <c r="I117" s="1">
        <v>4</v>
      </c>
      <c r="J117" s="1" t="s">
        <v>19</v>
      </c>
      <c r="K117" s="1" t="s">
        <v>40</v>
      </c>
      <c r="L117" s="1">
        <f t="shared" si="2"/>
        <v>115</v>
      </c>
      <c r="M117" s="3">
        <f t="shared" si="3"/>
        <v>75</v>
      </c>
      <c r="N117" s="1">
        <v>68</v>
      </c>
      <c r="O117" s="1">
        <v>7000</v>
      </c>
      <c r="P117" s="1" t="s">
        <v>17</v>
      </c>
    </row>
    <row r="118" spans="1:16" ht="16.5">
      <c r="A118" s="1">
        <v>117</v>
      </c>
      <c r="B118" s="1" t="s">
        <v>28</v>
      </c>
      <c r="C118" s="1">
        <v>37</v>
      </c>
      <c r="D118" s="2" t="str" cm="1">
        <f t="array" ref="D118">_xlfn.IFS(C118&lt;35, "young", C118&lt;50, "middle age", C118&gt;=50, "old")</f>
        <v>middle age</v>
      </c>
      <c r="E118" s="1" t="s">
        <v>34</v>
      </c>
      <c r="F118" s="1">
        <v>7.2</v>
      </c>
      <c r="G118" s="1">
        <v>8</v>
      </c>
      <c r="H118" s="1">
        <v>60</v>
      </c>
      <c r="I118" s="1">
        <v>4</v>
      </c>
      <c r="J118" s="1" t="s">
        <v>19</v>
      </c>
      <c r="K118" s="1" t="s">
        <v>40</v>
      </c>
      <c r="L118" s="1">
        <f t="shared" si="2"/>
        <v>115</v>
      </c>
      <c r="M118" s="3">
        <f t="shared" si="3"/>
        <v>75</v>
      </c>
      <c r="N118" s="1">
        <v>68</v>
      </c>
      <c r="O118" s="1">
        <v>7000</v>
      </c>
      <c r="P118" s="1" t="s">
        <v>17</v>
      </c>
    </row>
    <row r="119" spans="1:16" ht="16.5">
      <c r="A119" s="1">
        <v>118</v>
      </c>
      <c r="B119" s="1" t="s">
        <v>28</v>
      </c>
      <c r="C119" s="1">
        <v>37</v>
      </c>
      <c r="D119" s="2" t="str" cm="1">
        <f t="array" ref="D119">_xlfn.IFS(C119&lt;35, "young", C119&lt;50, "middle age", C119&gt;=50, "old")</f>
        <v>middle age</v>
      </c>
      <c r="E119" s="1" t="s">
        <v>34</v>
      </c>
      <c r="F119" s="1">
        <v>7.2</v>
      </c>
      <c r="G119" s="1">
        <v>8</v>
      </c>
      <c r="H119" s="1">
        <v>60</v>
      </c>
      <c r="I119" s="1">
        <v>4</v>
      </c>
      <c r="J119" s="1" t="s">
        <v>19</v>
      </c>
      <c r="K119" s="1" t="s">
        <v>40</v>
      </c>
      <c r="L119" s="1">
        <f t="shared" si="2"/>
        <v>115</v>
      </c>
      <c r="M119" s="3">
        <f t="shared" si="3"/>
        <v>75</v>
      </c>
      <c r="N119" s="1">
        <v>68</v>
      </c>
      <c r="O119" s="1">
        <v>7000</v>
      </c>
      <c r="P119" s="1" t="s">
        <v>17</v>
      </c>
    </row>
    <row r="120" spans="1:16" ht="16.5">
      <c r="A120" s="1">
        <v>119</v>
      </c>
      <c r="B120" s="1" t="s">
        <v>28</v>
      </c>
      <c r="C120" s="1">
        <v>37</v>
      </c>
      <c r="D120" s="2" t="str" cm="1">
        <f t="array" ref="D120">_xlfn.IFS(C120&lt;35, "young", C120&lt;50, "middle age", C120&gt;=50, "old")</f>
        <v>middle age</v>
      </c>
      <c r="E120" s="1" t="s">
        <v>34</v>
      </c>
      <c r="F120" s="1">
        <v>7.2</v>
      </c>
      <c r="G120" s="1">
        <v>8</v>
      </c>
      <c r="H120" s="1">
        <v>60</v>
      </c>
      <c r="I120" s="1">
        <v>4</v>
      </c>
      <c r="J120" s="1" t="s">
        <v>19</v>
      </c>
      <c r="K120" s="1" t="s">
        <v>40</v>
      </c>
      <c r="L120" s="1">
        <f t="shared" si="2"/>
        <v>115</v>
      </c>
      <c r="M120" s="3">
        <f t="shared" si="3"/>
        <v>75</v>
      </c>
      <c r="N120" s="1">
        <v>68</v>
      </c>
      <c r="O120" s="1">
        <v>7000</v>
      </c>
      <c r="P120" s="1" t="s">
        <v>17</v>
      </c>
    </row>
    <row r="121" spans="1:16" ht="16.5">
      <c r="A121" s="1">
        <v>120</v>
      </c>
      <c r="B121" s="1" t="s">
        <v>28</v>
      </c>
      <c r="C121" s="1">
        <v>37</v>
      </c>
      <c r="D121" s="2" t="str" cm="1">
        <f t="array" ref="D121">_xlfn.IFS(C121&lt;35, "young", C121&lt;50, "middle age", C121&gt;=50, "old")</f>
        <v>middle age</v>
      </c>
      <c r="E121" s="1" t="s">
        <v>34</v>
      </c>
      <c r="F121" s="1">
        <v>7.2</v>
      </c>
      <c r="G121" s="1">
        <v>8</v>
      </c>
      <c r="H121" s="1">
        <v>60</v>
      </c>
      <c r="I121" s="1">
        <v>4</v>
      </c>
      <c r="J121" s="1" t="s">
        <v>19</v>
      </c>
      <c r="K121" s="1" t="s">
        <v>40</v>
      </c>
      <c r="L121" s="1">
        <f t="shared" si="2"/>
        <v>115</v>
      </c>
      <c r="M121" s="3">
        <f t="shared" si="3"/>
        <v>75</v>
      </c>
      <c r="N121" s="1">
        <v>68</v>
      </c>
      <c r="O121" s="1">
        <v>7000</v>
      </c>
      <c r="P121" s="1" t="s">
        <v>17</v>
      </c>
    </row>
    <row r="122" spans="1:16" ht="16.5">
      <c r="A122" s="1">
        <v>121</v>
      </c>
      <c r="B122" s="1" t="s">
        <v>28</v>
      </c>
      <c r="C122" s="1">
        <v>37</v>
      </c>
      <c r="D122" s="2" t="str" cm="1">
        <f t="array" ref="D122">_xlfn.IFS(C122&lt;35, "young", C122&lt;50, "middle age", C122&gt;=50, "old")</f>
        <v>middle age</v>
      </c>
      <c r="E122" s="1" t="s">
        <v>34</v>
      </c>
      <c r="F122" s="1">
        <v>7.2</v>
      </c>
      <c r="G122" s="1">
        <v>8</v>
      </c>
      <c r="H122" s="1">
        <v>60</v>
      </c>
      <c r="I122" s="1">
        <v>4</v>
      </c>
      <c r="J122" s="1" t="s">
        <v>19</v>
      </c>
      <c r="K122" s="1" t="s">
        <v>40</v>
      </c>
      <c r="L122" s="1">
        <f t="shared" si="2"/>
        <v>115</v>
      </c>
      <c r="M122" s="3">
        <f t="shared" si="3"/>
        <v>75</v>
      </c>
      <c r="N122" s="1">
        <v>68</v>
      </c>
      <c r="O122" s="1">
        <v>7000</v>
      </c>
      <c r="P122" s="1" t="s">
        <v>17</v>
      </c>
    </row>
    <row r="123" spans="1:16" ht="16.5">
      <c r="A123" s="1">
        <v>122</v>
      </c>
      <c r="B123" s="1" t="s">
        <v>28</v>
      </c>
      <c r="C123" s="1">
        <v>37</v>
      </c>
      <c r="D123" s="2" t="str" cm="1">
        <f t="array" ref="D123">_xlfn.IFS(C123&lt;35, "young", C123&lt;50, "middle age", C123&gt;=50, "old")</f>
        <v>middle age</v>
      </c>
      <c r="E123" s="1" t="s">
        <v>34</v>
      </c>
      <c r="F123" s="1">
        <v>7.2</v>
      </c>
      <c r="G123" s="1">
        <v>8</v>
      </c>
      <c r="H123" s="1">
        <v>60</v>
      </c>
      <c r="I123" s="1">
        <v>4</v>
      </c>
      <c r="J123" s="1" t="s">
        <v>19</v>
      </c>
      <c r="K123" s="1" t="s">
        <v>40</v>
      </c>
      <c r="L123" s="1">
        <f t="shared" si="2"/>
        <v>115</v>
      </c>
      <c r="M123" s="3">
        <f t="shared" si="3"/>
        <v>75</v>
      </c>
      <c r="N123" s="1">
        <v>68</v>
      </c>
      <c r="O123" s="1">
        <v>7000</v>
      </c>
      <c r="P123" s="1" t="s">
        <v>17</v>
      </c>
    </row>
    <row r="124" spans="1:16" ht="16.5">
      <c r="A124" s="1">
        <v>123</v>
      </c>
      <c r="B124" s="1" t="s">
        <v>28</v>
      </c>
      <c r="C124" s="1">
        <v>37</v>
      </c>
      <c r="D124" s="2" t="str" cm="1">
        <f t="array" ref="D124">_xlfn.IFS(C124&lt;35, "young", C124&lt;50, "middle age", C124&gt;=50, "old")</f>
        <v>middle age</v>
      </c>
      <c r="E124" s="1" t="s">
        <v>34</v>
      </c>
      <c r="F124" s="1">
        <v>7.2</v>
      </c>
      <c r="G124" s="1">
        <v>8</v>
      </c>
      <c r="H124" s="1">
        <v>60</v>
      </c>
      <c r="I124" s="1">
        <v>4</v>
      </c>
      <c r="J124" s="1" t="s">
        <v>19</v>
      </c>
      <c r="K124" s="1" t="s">
        <v>40</v>
      </c>
      <c r="L124" s="1">
        <f t="shared" si="2"/>
        <v>115</v>
      </c>
      <c r="M124" s="3">
        <f t="shared" si="3"/>
        <v>75</v>
      </c>
      <c r="N124" s="1">
        <v>68</v>
      </c>
      <c r="O124" s="1">
        <v>7000</v>
      </c>
      <c r="P124" s="1" t="s">
        <v>17</v>
      </c>
    </row>
    <row r="125" spans="1:16" ht="16.5">
      <c r="A125" s="1">
        <v>124</v>
      </c>
      <c r="B125" s="1" t="s">
        <v>28</v>
      </c>
      <c r="C125" s="1">
        <v>37</v>
      </c>
      <c r="D125" s="2" t="str" cm="1">
        <f t="array" ref="D125">_xlfn.IFS(C125&lt;35, "young", C125&lt;50, "middle age", C125&gt;=50, "old")</f>
        <v>middle age</v>
      </c>
      <c r="E125" s="1" t="s">
        <v>34</v>
      </c>
      <c r="F125" s="1">
        <v>7.2</v>
      </c>
      <c r="G125" s="1">
        <v>8</v>
      </c>
      <c r="H125" s="1">
        <v>60</v>
      </c>
      <c r="I125" s="1">
        <v>4</v>
      </c>
      <c r="J125" s="1" t="s">
        <v>19</v>
      </c>
      <c r="K125" s="1" t="s">
        <v>40</v>
      </c>
      <c r="L125" s="1">
        <f t="shared" si="2"/>
        <v>115</v>
      </c>
      <c r="M125" s="3">
        <f t="shared" si="3"/>
        <v>75</v>
      </c>
      <c r="N125" s="1">
        <v>68</v>
      </c>
      <c r="O125" s="1">
        <v>7000</v>
      </c>
      <c r="P125" s="1" t="s">
        <v>17</v>
      </c>
    </row>
    <row r="126" spans="1:16" ht="16.5">
      <c r="A126" s="1">
        <v>125</v>
      </c>
      <c r="B126" s="1" t="s">
        <v>28</v>
      </c>
      <c r="C126" s="1">
        <v>37</v>
      </c>
      <c r="D126" s="2" t="str" cm="1">
        <f t="array" ref="D126">_xlfn.IFS(C126&lt;35, "young", C126&lt;50, "middle age", C126&gt;=50, "old")</f>
        <v>middle age</v>
      </c>
      <c r="E126" s="1" t="s">
        <v>34</v>
      </c>
      <c r="F126" s="1">
        <v>7.2</v>
      </c>
      <c r="G126" s="1">
        <v>8</v>
      </c>
      <c r="H126" s="1">
        <v>60</v>
      </c>
      <c r="I126" s="1">
        <v>4</v>
      </c>
      <c r="J126" s="1" t="s">
        <v>19</v>
      </c>
      <c r="K126" s="1" t="s">
        <v>40</v>
      </c>
      <c r="L126" s="1">
        <f t="shared" si="2"/>
        <v>115</v>
      </c>
      <c r="M126" s="3">
        <f t="shared" si="3"/>
        <v>75</v>
      </c>
      <c r="N126" s="1">
        <v>68</v>
      </c>
      <c r="O126" s="1">
        <v>7000</v>
      </c>
      <c r="P126" s="1" t="s">
        <v>17</v>
      </c>
    </row>
    <row r="127" spans="1:16" ht="16.5">
      <c r="A127" s="1">
        <v>126</v>
      </c>
      <c r="B127" s="1" t="s">
        <v>28</v>
      </c>
      <c r="C127" s="1">
        <v>37</v>
      </c>
      <c r="D127" s="2" t="str" cm="1">
        <f t="array" ref="D127">_xlfn.IFS(C127&lt;35, "young", C127&lt;50, "middle age", C127&gt;=50, "old")</f>
        <v>middle age</v>
      </c>
      <c r="E127" s="1" t="s">
        <v>29</v>
      </c>
      <c r="F127" s="1">
        <v>7.5</v>
      </c>
      <c r="G127" s="1">
        <v>8</v>
      </c>
      <c r="H127" s="1">
        <v>60</v>
      </c>
      <c r="I127" s="1">
        <v>4</v>
      </c>
      <c r="J127" s="1" t="s">
        <v>19</v>
      </c>
      <c r="K127" s="1" t="s">
        <v>27</v>
      </c>
      <c r="L127" s="1">
        <f t="shared" si="2"/>
        <v>120</v>
      </c>
      <c r="M127" s="3">
        <f t="shared" si="3"/>
        <v>80</v>
      </c>
      <c r="N127" s="1">
        <v>70</v>
      </c>
      <c r="O127" s="1">
        <v>8000</v>
      </c>
      <c r="P127" s="1" t="s">
        <v>17</v>
      </c>
    </row>
    <row r="128" spans="1:16" ht="16.5">
      <c r="A128" s="1">
        <v>127</v>
      </c>
      <c r="B128" s="1" t="s">
        <v>13</v>
      </c>
      <c r="C128" s="1">
        <v>38</v>
      </c>
      <c r="D128" s="2" t="str" cm="1">
        <f t="array" ref="D128">_xlfn.IFS(C128&lt;35, "young", C128&lt;50, "middle age", C128&gt;=50, "old")</f>
        <v>middle age</v>
      </c>
      <c r="E128" s="1" t="s">
        <v>41</v>
      </c>
      <c r="F128" s="1">
        <v>7.3</v>
      </c>
      <c r="G128" s="1">
        <v>8</v>
      </c>
      <c r="H128" s="1">
        <v>60</v>
      </c>
      <c r="I128" s="1">
        <v>5</v>
      </c>
      <c r="J128" s="1" t="s">
        <v>19</v>
      </c>
      <c r="K128" s="1" t="s">
        <v>44</v>
      </c>
      <c r="L128" s="1">
        <f t="shared" si="2"/>
        <v>130</v>
      </c>
      <c r="M128" s="3">
        <f t="shared" si="3"/>
        <v>85</v>
      </c>
      <c r="N128" s="1">
        <v>68</v>
      </c>
      <c r="O128" s="1">
        <v>8000</v>
      </c>
      <c r="P128" s="1" t="s">
        <v>17</v>
      </c>
    </row>
    <row r="129" spans="1:16" ht="16.5">
      <c r="A129" s="1">
        <v>128</v>
      </c>
      <c r="B129" s="1" t="s">
        <v>28</v>
      </c>
      <c r="C129" s="1">
        <v>38</v>
      </c>
      <c r="D129" s="2" t="str" cm="1">
        <f t="array" ref="D129">_xlfn.IFS(C129&lt;35, "young", C129&lt;50, "middle age", C129&gt;=50, "old")</f>
        <v>middle age</v>
      </c>
      <c r="E129" s="1" t="s">
        <v>34</v>
      </c>
      <c r="F129" s="1">
        <v>7.1</v>
      </c>
      <c r="G129" s="1">
        <v>8</v>
      </c>
      <c r="H129" s="1">
        <v>60</v>
      </c>
      <c r="I129" s="1">
        <v>4</v>
      </c>
      <c r="J129" s="1" t="s">
        <v>19</v>
      </c>
      <c r="K129" s="1" t="s">
        <v>40</v>
      </c>
      <c r="L129" s="1">
        <f t="shared" si="2"/>
        <v>115</v>
      </c>
      <c r="M129" s="3">
        <f t="shared" si="3"/>
        <v>75</v>
      </c>
      <c r="N129" s="1">
        <v>68</v>
      </c>
      <c r="O129" s="1">
        <v>7000</v>
      </c>
      <c r="P129" s="1" t="s">
        <v>17</v>
      </c>
    </row>
    <row r="130" spans="1:16" ht="16.5">
      <c r="A130" s="1">
        <v>129</v>
      </c>
      <c r="B130" s="1" t="s">
        <v>13</v>
      </c>
      <c r="C130" s="1">
        <v>38</v>
      </c>
      <c r="D130" s="2" t="str" cm="1">
        <f t="array" ref="D130">_xlfn.IFS(C130&lt;35, "young", C130&lt;50, "middle age", C130&gt;=50, "old")</f>
        <v>middle age</v>
      </c>
      <c r="E130" s="1" t="s">
        <v>41</v>
      </c>
      <c r="F130" s="1">
        <v>7.3</v>
      </c>
      <c r="G130" s="1">
        <v>8</v>
      </c>
      <c r="H130" s="1">
        <v>60</v>
      </c>
      <c r="I130" s="1">
        <v>5</v>
      </c>
      <c r="J130" s="1" t="s">
        <v>19</v>
      </c>
      <c r="K130" s="1" t="s">
        <v>44</v>
      </c>
      <c r="L130" s="1">
        <f t="shared" si="2"/>
        <v>130</v>
      </c>
      <c r="M130" s="3">
        <f t="shared" si="3"/>
        <v>85</v>
      </c>
      <c r="N130" s="1">
        <v>68</v>
      </c>
      <c r="O130" s="1">
        <v>8000</v>
      </c>
      <c r="P130" s="1" t="s">
        <v>17</v>
      </c>
    </row>
    <row r="131" spans="1:16" ht="16.5">
      <c r="A131" s="1">
        <v>130</v>
      </c>
      <c r="B131" s="1" t="s">
        <v>13</v>
      </c>
      <c r="C131" s="1">
        <v>38</v>
      </c>
      <c r="D131" s="2" t="str" cm="1">
        <f t="array" ref="D131">_xlfn.IFS(C131&lt;35, "young", C131&lt;50, "middle age", C131&gt;=50, "old")</f>
        <v>middle age</v>
      </c>
      <c r="E131" s="1" t="s">
        <v>41</v>
      </c>
      <c r="F131" s="1">
        <v>7.3</v>
      </c>
      <c r="G131" s="1">
        <v>8</v>
      </c>
      <c r="H131" s="1">
        <v>60</v>
      </c>
      <c r="I131" s="1">
        <v>5</v>
      </c>
      <c r="J131" s="1" t="s">
        <v>19</v>
      </c>
      <c r="K131" s="1" t="s">
        <v>44</v>
      </c>
      <c r="L131" s="1">
        <f t="shared" ref="L131:L194" si="4">VALUE(_xlfn.TEXTBEFORE(K131,"/"))</f>
        <v>130</v>
      </c>
      <c r="M131" s="3">
        <f t="shared" ref="M131:M194" si="5">VALUE(_xlfn.TEXTAFTER(K131,"/"))</f>
        <v>85</v>
      </c>
      <c r="N131" s="1">
        <v>68</v>
      </c>
      <c r="O131" s="1">
        <v>8000</v>
      </c>
      <c r="P131" s="1" t="s">
        <v>17</v>
      </c>
    </row>
    <row r="132" spans="1:16" ht="16.5">
      <c r="A132" s="1">
        <v>131</v>
      </c>
      <c r="B132" s="1" t="s">
        <v>28</v>
      </c>
      <c r="C132" s="1">
        <v>38</v>
      </c>
      <c r="D132" s="2" t="str" cm="1">
        <f t="array" ref="D132">_xlfn.IFS(C132&lt;35, "young", C132&lt;50, "middle age", C132&gt;=50, "old")</f>
        <v>middle age</v>
      </c>
      <c r="E132" s="1" t="s">
        <v>34</v>
      </c>
      <c r="F132" s="1">
        <v>7.1</v>
      </c>
      <c r="G132" s="1">
        <v>8</v>
      </c>
      <c r="H132" s="1">
        <v>60</v>
      </c>
      <c r="I132" s="1">
        <v>4</v>
      </c>
      <c r="J132" s="1" t="s">
        <v>19</v>
      </c>
      <c r="K132" s="1" t="s">
        <v>40</v>
      </c>
      <c r="L132" s="1">
        <f t="shared" si="4"/>
        <v>115</v>
      </c>
      <c r="M132" s="3">
        <f t="shared" si="5"/>
        <v>75</v>
      </c>
      <c r="N132" s="1">
        <v>68</v>
      </c>
      <c r="O132" s="1">
        <v>7000</v>
      </c>
      <c r="P132" s="1" t="s">
        <v>17</v>
      </c>
    </row>
    <row r="133" spans="1:16" ht="16.5">
      <c r="A133" s="1">
        <v>132</v>
      </c>
      <c r="B133" s="1" t="s">
        <v>13</v>
      </c>
      <c r="C133" s="1">
        <v>38</v>
      </c>
      <c r="D133" s="2" t="str" cm="1">
        <f t="array" ref="D133">_xlfn.IFS(C133&lt;35, "young", C133&lt;50, "middle age", C133&gt;=50, "old")</f>
        <v>middle age</v>
      </c>
      <c r="E133" s="1" t="s">
        <v>41</v>
      </c>
      <c r="F133" s="1">
        <v>7.3</v>
      </c>
      <c r="G133" s="1">
        <v>8</v>
      </c>
      <c r="H133" s="1">
        <v>60</v>
      </c>
      <c r="I133" s="1">
        <v>5</v>
      </c>
      <c r="J133" s="1" t="s">
        <v>19</v>
      </c>
      <c r="K133" s="1" t="s">
        <v>44</v>
      </c>
      <c r="L133" s="1">
        <f t="shared" si="4"/>
        <v>130</v>
      </c>
      <c r="M133" s="3">
        <f t="shared" si="5"/>
        <v>85</v>
      </c>
      <c r="N133" s="1">
        <v>68</v>
      </c>
      <c r="O133" s="1">
        <v>8000</v>
      </c>
      <c r="P133" s="1" t="s">
        <v>17</v>
      </c>
    </row>
    <row r="134" spans="1:16" ht="16.5">
      <c r="A134" s="1">
        <v>133</v>
      </c>
      <c r="B134" s="1" t="s">
        <v>13</v>
      </c>
      <c r="C134" s="1">
        <v>38</v>
      </c>
      <c r="D134" s="2" t="str" cm="1">
        <f t="array" ref="D134">_xlfn.IFS(C134&lt;35, "young", C134&lt;50, "middle age", C134&gt;=50, "old")</f>
        <v>middle age</v>
      </c>
      <c r="E134" s="1" t="s">
        <v>41</v>
      </c>
      <c r="F134" s="1">
        <v>7.3</v>
      </c>
      <c r="G134" s="1">
        <v>8</v>
      </c>
      <c r="H134" s="1">
        <v>60</v>
      </c>
      <c r="I134" s="1">
        <v>5</v>
      </c>
      <c r="J134" s="1" t="s">
        <v>19</v>
      </c>
      <c r="K134" s="1" t="s">
        <v>44</v>
      </c>
      <c r="L134" s="1">
        <f t="shared" si="4"/>
        <v>130</v>
      </c>
      <c r="M134" s="3">
        <f t="shared" si="5"/>
        <v>85</v>
      </c>
      <c r="N134" s="1">
        <v>68</v>
      </c>
      <c r="O134" s="1">
        <v>8000</v>
      </c>
      <c r="P134" s="1" t="s">
        <v>17</v>
      </c>
    </row>
    <row r="135" spans="1:16" ht="16.5">
      <c r="A135" s="1">
        <v>134</v>
      </c>
      <c r="B135" s="1" t="s">
        <v>28</v>
      </c>
      <c r="C135" s="1">
        <v>38</v>
      </c>
      <c r="D135" s="2" t="str" cm="1">
        <f t="array" ref="D135">_xlfn.IFS(C135&lt;35, "young", C135&lt;50, "middle age", C135&gt;=50, "old")</f>
        <v>middle age</v>
      </c>
      <c r="E135" s="1" t="s">
        <v>34</v>
      </c>
      <c r="F135" s="1">
        <v>7.1</v>
      </c>
      <c r="G135" s="1">
        <v>8</v>
      </c>
      <c r="H135" s="1">
        <v>60</v>
      </c>
      <c r="I135" s="1">
        <v>4</v>
      </c>
      <c r="J135" s="1" t="s">
        <v>19</v>
      </c>
      <c r="K135" s="1" t="s">
        <v>40</v>
      </c>
      <c r="L135" s="1">
        <f t="shared" si="4"/>
        <v>115</v>
      </c>
      <c r="M135" s="3">
        <f t="shared" si="5"/>
        <v>75</v>
      </c>
      <c r="N135" s="1">
        <v>68</v>
      </c>
      <c r="O135" s="1">
        <v>7000</v>
      </c>
      <c r="P135" s="1" t="s">
        <v>17</v>
      </c>
    </row>
    <row r="136" spans="1:16" ht="16.5">
      <c r="A136" s="1">
        <v>135</v>
      </c>
      <c r="B136" s="1" t="s">
        <v>13</v>
      </c>
      <c r="C136" s="1">
        <v>38</v>
      </c>
      <c r="D136" s="2" t="str" cm="1">
        <f t="array" ref="D136">_xlfn.IFS(C136&lt;35, "young", C136&lt;50, "middle age", C136&gt;=50, "old")</f>
        <v>middle age</v>
      </c>
      <c r="E136" s="1" t="s">
        <v>41</v>
      </c>
      <c r="F136" s="1">
        <v>7.3</v>
      </c>
      <c r="G136" s="1">
        <v>8</v>
      </c>
      <c r="H136" s="1">
        <v>60</v>
      </c>
      <c r="I136" s="1">
        <v>5</v>
      </c>
      <c r="J136" s="1" t="s">
        <v>19</v>
      </c>
      <c r="K136" s="1" t="s">
        <v>44</v>
      </c>
      <c r="L136" s="1">
        <f t="shared" si="4"/>
        <v>130</v>
      </c>
      <c r="M136" s="3">
        <f t="shared" si="5"/>
        <v>85</v>
      </c>
      <c r="N136" s="1">
        <v>68</v>
      </c>
      <c r="O136" s="1">
        <v>8000</v>
      </c>
      <c r="P136" s="1" t="s">
        <v>17</v>
      </c>
    </row>
    <row r="137" spans="1:16" ht="16.5">
      <c r="A137" s="1">
        <v>136</v>
      </c>
      <c r="B137" s="1" t="s">
        <v>13</v>
      </c>
      <c r="C137" s="1">
        <v>38</v>
      </c>
      <c r="D137" s="2" t="str" cm="1">
        <f t="array" ref="D137">_xlfn.IFS(C137&lt;35, "young", C137&lt;50, "middle age", C137&gt;=50, "old")</f>
        <v>middle age</v>
      </c>
      <c r="E137" s="1" t="s">
        <v>41</v>
      </c>
      <c r="F137" s="1">
        <v>7.3</v>
      </c>
      <c r="G137" s="1">
        <v>8</v>
      </c>
      <c r="H137" s="1">
        <v>60</v>
      </c>
      <c r="I137" s="1">
        <v>5</v>
      </c>
      <c r="J137" s="1" t="s">
        <v>19</v>
      </c>
      <c r="K137" s="1" t="s">
        <v>44</v>
      </c>
      <c r="L137" s="1">
        <f t="shared" si="4"/>
        <v>130</v>
      </c>
      <c r="M137" s="3">
        <f t="shared" si="5"/>
        <v>85</v>
      </c>
      <c r="N137" s="1">
        <v>68</v>
      </c>
      <c r="O137" s="1">
        <v>8000</v>
      </c>
      <c r="P137" s="1" t="s">
        <v>17</v>
      </c>
    </row>
    <row r="138" spans="1:16" ht="16.5">
      <c r="A138" s="1">
        <v>137</v>
      </c>
      <c r="B138" s="1" t="s">
        <v>28</v>
      </c>
      <c r="C138" s="1">
        <v>38</v>
      </c>
      <c r="D138" s="2" t="str" cm="1">
        <f t="array" ref="D138">_xlfn.IFS(C138&lt;35, "young", C138&lt;50, "middle age", C138&gt;=50, "old")</f>
        <v>middle age</v>
      </c>
      <c r="E138" s="1" t="s">
        <v>34</v>
      </c>
      <c r="F138" s="1">
        <v>7.1</v>
      </c>
      <c r="G138" s="1">
        <v>8</v>
      </c>
      <c r="H138" s="1">
        <v>60</v>
      </c>
      <c r="I138" s="1">
        <v>4</v>
      </c>
      <c r="J138" s="1" t="s">
        <v>19</v>
      </c>
      <c r="K138" s="1" t="s">
        <v>40</v>
      </c>
      <c r="L138" s="1">
        <f t="shared" si="4"/>
        <v>115</v>
      </c>
      <c r="M138" s="3">
        <f t="shared" si="5"/>
        <v>75</v>
      </c>
      <c r="N138" s="1">
        <v>68</v>
      </c>
      <c r="O138" s="1">
        <v>7000</v>
      </c>
      <c r="P138" s="1" t="s">
        <v>17</v>
      </c>
    </row>
    <row r="139" spans="1:16" ht="16.5">
      <c r="A139" s="1">
        <v>138</v>
      </c>
      <c r="B139" s="1" t="s">
        <v>13</v>
      </c>
      <c r="C139" s="1">
        <v>38</v>
      </c>
      <c r="D139" s="2" t="str" cm="1">
        <f t="array" ref="D139">_xlfn.IFS(C139&lt;35, "young", C139&lt;50, "middle age", C139&gt;=50, "old")</f>
        <v>middle age</v>
      </c>
      <c r="E139" s="1" t="s">
        <v>41</v>
      </c>
      <c r="F139" s="1">
        <v>7.1</v>
      </c>
      <c r="G139" s="1">
        <v>8</v>
      </c>
      <c r="H139" s="1">
        <v>60</v>
      </c>
      <c r="I139" s="1">
        <v>5</v>
      </c>
      <c r="J139" s="1" t="s">
        <v>19</v>
      </c>
      <c r="K139" s="1" t="s">
        <v>44</v>
      </c>
      <c r="L139" s="1">
        <f t="shared" si="4"/>
        <v>130</v>
      </c>
      <c r="M139" s="3">
        <f t="shared" si="5"/>
        <v>85</v>
      </c>
      <c r="N139" s="1">
        <v>68</v>
      </c>
      <c r="O139" s="1">
        <v>8000</v>
      </c>
      <c r="P139" s="1" t="s">
        <v>17</v>
      </c>
    </row>
    <row r="140" spans="1:16" ht="16.5">
      <c r="A140" s="1">
        <v>139</v>
      </c>
      <c r="B140" s="1" t="s">
        <v>28</v>
      </c>
      <c r="C140" s="1">
        <v>38</v>
      </c>
      <c r="D140" s="2" t="str" cm="1">
        <f t="array" ref="D140">_xlfn.IFS(C140&lt;35, "young", C140&lt;50, "middle age", C140&gt;=50, "old")</f>
        <v>middle age</v>
      </c>
      <c r="E140" s="1" t="s">
        <v>34</v>
      </c>
      <c r="F140" s="1">
        <v>7.1</v>
      </c>
      <c r="G140" s="1">
        <v>8</v>
      </c>
      <c r="H140" s="1">
        <v>60</v>
      </c>
      <c r="I140" s="1">
        <v>4</v>
      </c>
      <c r="J140" s="1" t="s">
        <v>19</v>
      </c>
      <c r="K140" s="1" t="s">
        <v>40</v>
      </c>
      <c r="L140" s="1">
        <f t="shared" si="4"/>
        <v>115</v>
      </c>
      <c r="M140" s="3">
        <f t="shared" si="5"/>
        <v>75</v>
      </c>
      <c r="N140" s="1">
        <v>68</v>
      </c>
      <c r="O140" s="1">
        <v>7000</v>
      </c>
      <c r="P140" s="1" t="s">
        <v>17</v>
      </c>
    </row>
    <row r="141" spans="1:16" ht="16.5">
      <c r="A141" s="1">
        <v>140</v>
      </c>
      <c r="B141" s="1" t="s">
        <v>13</v>
      </c>
      <c r="C141" s="1">
        <v>38</v>
      </c>
      <c r="D141" s="2" t="str" cm="1">
        <f t="array" ref="D141">_xlfn.IFS(C141&lt;35, "young", C141&lt;50, "middle age", C141&gt;=50, "old")</f>
        <v>middle age</v>
      </c>
      <c r="E141" s="1" t="s">
        <v>41</v>
      </c>
      <c r="F141" s="1">
        <v>7.1</v>
      </c>
      <c r="G141" s="1">
        <v>8</v>
      </c>
      <c r="H141" s="1">
        <v>60</v>
      </c>
      <c r="I141" s="1">
        <v>5</v>
      </c>
      <c r="J141" s="1" t="s">
        <v>19</v>
      </c>
      <c r="K141" s="1" t="s">
        <v>44</v>
      </c>
      <c r="L141" s="1">
        <f t="shared" si="4"/>
        <v>130</v>
      </c>
      <c r="M141" s="3">
        <f t="shared" si="5"/>
        <v>85</v>
      </c>
      <c r="N141" s="1">
        <v>68</v>
      </c>
      <c r="O141" s="1">
        <v>8000</v>
      </c>
      <c r="P141" s="1" t="s">
        <v>17</v>
      </c>
    </row>
    <row r="142" spans="1:16" ht="16.5">
      <c r="A142" s="1">
        <v>141</v>
      </c>
      <c r="B142" s="1" t="s">
        <v>28</v>
      </c>
      <c r="C142" s="1">
        <v>38</v>
      </c>
      <c r="D142" s="2" t="str" cm="1">
        <f t="array" ref="D142">_xlfn.IFS(C142&lt;35, "young", C142&lt;50, "middle age", C142&gt;=50, "old")</f>
        <v>middle age</v>
      </c>
      <c r="E142" s="1" t="s">
        <v>34</v>
      </c>
      <c r="F142" s="1">
        <v>7.1</v>
      </c>
      <c r="G142" s="1">
        <v>8</v>
      </c>
      <c r="H142" s="1">
        <v>60</v>
      </c>
      <c r="I142" s="1">
        <v>4</v>
      </c>
      <c r="J142" s="1" t="s">
        <v>19</v>
      </c>
      <c r="K142" s="1" t="s">
        <v>40</v>
      </c>
      <c r="L142" s="1">
        <f t="shared" si="4"/>
        <v>115</v>
      </c>
      <c r="M142" s="3">
        <f t="shared" si="5"/>
        <v>75</v>
      </c>
      <c r="N142" s="1">
        <v>68</v>
      </c>
      <c r="O142" s="1">
        <v>7000</v>
      </c>
      <c r="P142" s="1" t="s">
        <v>17</v>
      </c>
    </row>
    <row r="143" spans="1:16" ht="16.5">
      <c r="A143" s="1">
        <v>142</v>
      </c>
      <c r="B143" s="1" t="s">
        <v>13</v>
      </c>
      <c r="C143" s="1">
        <v>38</v>
      </c>
      <c r="D143" s="2" t="str" cm="1">
        <f t="array" ref="D143">_xlfn.IFS(C143&lt;35, "young", C143&lt;50, "middle age", C143&gt;=50, "old")</f>
        <v>middle age</v>
      </c>
      <c r="E143" s="1" t="s">
        <v>41</v>
      </c>
      <c r="F143" s="1">
        <v>7.1</v>
      </c>
      <c r="G143" s="1">
        <v>8</v>
      </c>
      <c r="H143" s="1">
        <v>60</v>
      </c>
      <c r="I143" s="1">
        <v>5</v>
      </c>
      <c r="J143" s="1" t="s">
        <v>19</v>
      </c>
      <c r="K143" s="1" t="s">
        <v>44</v>
      </c>
      <c r="L143" s="1">
        <f t="shared" si="4"/>
        <v>130</v>
      </c>
      <c r="M143" s="3">
        <f t="shared" si="5"/>
        <v>85</v>
      </c>
      <c r="N143" s="1">
        <v>68</v>
      </c>
      <c r="O143" s="1">
        <v>8000</v>
      </c>
      <c r="P143" s="1" t="s">
        <v>17</v>
      </c>
    </row>
    <row r="144" spans="1:16" ht="16.5">
      <c r="A144" s="1">
        <v>143</v>
      </c>
      <c r="B144" s="1" t="s">
        <v>28</v>
      </c>
      <c r="C144" s="1">
        <v>38</v>
      </c>
      <c r="D144" s="2" t="str" cm="1">
        <f t="array" ref="D144">_xlfn.IFS(C144&lt;35, "young", C144&lt;50, "middle age", C144&gt;=50, "old")</f>
        <v>middle age</v>
      </c>
      <c r="E144" s="1" t="s">
        <v>34</v>
      </c>
      <c r="F144" s="1">
        <v>7.1</v>
      </c>
      <c r="G144" s="1">
        <v>8</v>
      </c>
      <c r="H144" s="1">
        <v>60</v>
      </c>
      <c r="I144" s="1">
        <v>4</v>
      </c>
      <c r="J144" s="1" t="s">
        <v>19</v>
      </c>
      <c r="K144" s="1" t="s">
        <v>40</v>
      </c>
      <c r="L144" s="1">
        <f t="shared" si="4"/>
        <v>115</v>
      </c>
      <c r="M144" s="3">
        <f t="shared" si="5"/>
        <v>75</v>
      </c>
      <c r="N144" s="1">
        <v>68</v>
      </c>
      <c r="O144" s="1">
        <v>7000</v>
      </c>
      <c r="P144" s="1" t="s">
        <v>17</v>
      </c>
    </row>
    <row r="145" spans="1:16" ht="16.5">
      <c r="A145" s="1">
        <v>144</v>
      </c>
      <c r="B145" s="1" t="s">
        <v>28</v>
      </c>
      <c r="C145" s="1">
        <v>38</v>
      </c>
      <c r="D145" s="2" t="str" cm="1">
        <f t="array" ref="D145">_xlfn.IFS(C145&lt;35, "young", C145&lt;50, "middle age", C145&gt;=50, "old")</f>
        <v>middle age</v>
      </c>
      <c r="E145" s="1" t="s">
        <v>34</v>
      </c>
      <c r="F145" s="1">
        <v>7.1</v>
      </c>
      <c r="G145" s="1">
        <v>8</v>
      </c>
      <c r="H145" s="1">
        <v>60</v>
      </c>
      <c r="I145" s="1">
        <v>4</v>
      </c>
      <c r="J145" s="1" t="s">
        <v>19</v>
      </c>
      <c r="K145" s="1" t="s">
        <v>40</v>
      </c>
      <c r="L145" s="1">
        <f t="shared" si="4"/>
        <v>115</v>
      </c>
      <c r="M145" s="3">
        <f t="shared" si="5"/>
        <v>75</v>
      </c>
      <c r="N145" s="1">
        <v>68</v>
      </c>
      <c r="O145" s="1">
        <v>7000</v>
      </c>
      <c r="P145" s="1" t="s">
        <v>17</v>
      </c>
    </row>
    <row r="146" spans="1:16" ht="16.5">
      <c r="A146" s="1">
        <v>145</v>
      </c>
      <c r="B146" s="1" t="s">
        <v>13</v>
      </c>
      <c r="C146" s="1">
        <v>38</v>
      </c>
      <c r="D146" s="2" t="str" cm="1">
        <f t="array" ref="D146">_xlfn.IFS(C146&lt;35, "young", C146&lt;50, "middle age", C146&gt;=50, "old")</f>
        <v>middle age</v>
      </c>
      <c r="E146" s="1" t="s">
        <v>41</v>
      </c>
      <c r="F146" s="1">
        <v>7.1</v>
      </c>
      <c r="G146" s="1">
        <v>8</v>
      </c>
      <c r="H146" s="1">
        <v>60</v>
      </c>
      <c r="I146" s="1">
        <v>5</v>
      </c>
      <c r="J146" s="1" t="s">
        <v>19</v>
      </c>
      <c r="K146" s="1" t="s">
        <v>44</v>
      </c>
      <c r="L146" s="1">
        <f t="shared" si="4"/>
        <v>130</v>
      </c>
      <c r="M146" s="3">
        <f t="shared" si="5"/>
        <v>85</v>
      </c>
      <c r="N146" s="1">
        <v>68</v>
      </c>
      <c r="O146" s="1">
        <v>8000</v>
      </c>
      <c r="P146" s="1" t="s">
        <v>24</v>
      </c>
    </row>
    <row r="147" spans="1:16" ht="16.5">
      <c r="A147" s="1">
        <v>146</v>
      </c>
      <c r="B147" s="1" t="s">
        <v>28</v>
      </c>
      <c r="C147" s="1">
        <v>38</v>
      </c>
      <c r="D147" s="2" t="str" cm="1">
        <f t="array" ref="D147">_xlfn.IFS(C147&lt;35, "young", C147&lt;50, "middle age", C147&gt;=50, "old")</f>
        <v>middle age</v>
      </c>
      <c r="E147" s="1" t="s">
        <v>41</v>
      </c>
      <c r="F147" s="1">
        <v>7.4</v>
      </c>
      <c r="G147" s="1">
        <v>7</v>
      </c>
      <c r="H147" s="1">
        <v>60</v>
      </c>
      <c r="I147" s="1">
        <v>5</v>
      </c>
      <c r="J147" s="1" t="s">
        <v>22</v>
      </c>
      <c r="K147" s="1" t="s">
        <v>42</v>
      </c>
      <c r="L147" s="1">
        <f t="shared" si="4"/>
        <v>135</v>
      </c>
      <c r="M147" s="3">
        <f t="shared" si="5"/>
        <v>88</v>
      </c>
      <c r="N147" s="1">
        <v>84</v>
      </c>
      <c r="O147" s="1">
        <v>3300</v>
      </c>
      <c r="P147" s="1" t="s">
        <v>24</v>
      </c>
    </row>
    <row r="148" spans="1:16" ht="16.5">
      <c r="A148" s="1">
        <v>147</v>
      </c>
      <c r="B148" s="1" t="s">
        <v>13</v>
      </c>
      <c r="C148" s="1">
        <v>39</v>
      </c>
      <c r="D148" s="2" t="str" cm="1">
        <f t="array" ref="D148">_xlfn.IFS(C148&lt;35, "young", C148&lt;50, "middle age", C148&gt;=50, "old")</f>
        <v>middle age</v>
      </c>
      <c r="E148" s="1" t="s">
        <v>41</v>
      </c>
      <c r="F148" s="1">
        <v>7.2</v>
      </c>
      <c r="G148" s="1">
        <v>8</v>
      </c>
      <c r="H148" s="1">
        <v>60</v>
      </c>
      <c r="I148" s="1">
        <v>5</v>
      </c>
      <c r="J148" s="1" t="s">
        <v>19</v>
      </c>
      <c r="K148" s="1" t="s">
        <v>44</v>
      </c>
      <c r="L148" s="1">
        <f t="shared" si="4"/>
        <v>130</v>
      </c>
      <c r="M148" s="3">
        <f t="shared" si="5"/>
        <v>85</v>
      </c>
      <c r="N148" s="1">
        <v>68</v>
      </c>
      <c r="O148" s="1">
        <v>8000</v>
      </c>
      <c r="P148" s="1" t="s">
        <v>25</v>
      </c>
    </row>
    <row r="149" spans="1:16" ht="16.5">
      <c r="A149" s="1">
        <v>148</v>
      </c>
      <c r="B149" s="1" t="s">
        <v>13</v>
      </c>
      <c r="C149" s="1">
        <v>39</v>
      </c>
      <c r="D149" s="2" t="str" cm="1">
        <f t="array" ref="D149">_xlfn.IFS(C149&lt;35, "young", C149&lt;50, "middle age", C149&gt;=50, "old")</f>
        <v>middle age</v>
      </c>
      <c r="E149" s="1" t="s">
        <v>33</v>
      </c>
      <c r="F149" s="1">
        <v>6.5</v>
      </c>
      <c r="G149" s="1">
        <v>5</v>
      </c>
      <c r="H149" s="1">
        <v>40</v>
      </c>
      <c r="I149" s="1">
        <v>7</v>
      </c>
      <c r="J149" s="1" t="s">
        <v>15</v>
      </c>
      <c r="K149" s="1" t="s">
        <v>30</v>
      </c>
      <c r="L149" s="1">
        <f t="shared" si="4"/>
        <v>132</v>
      </c>
      <c r="M149" s="3">
        <f t="shared" si="5"/>
        <v>87</v>
      </c>
      <c r="N149" s="1">
        <v>80</v>
      </c>
      <c r="O149" s="1">
        <v>4000</v>
      </c>
      <c r="P149" s="1" t="s">
        <v>25</v>
      </c>
    </row>
    <row r="150" spans="1:16" ht="16.5">
      <c r="A150" s="1">
        <v>149</v>
      </c>
      <c r="B150" s="1" t="s">
        <v>28</v>
      </c>
      <c r="C150" s="1">
        <v>39</v>
      </c>
      <c r="D150" s="2" t="str" cm="1">
        <f t="array" ref="D150">_xlfn.IFS(C150&lt;35, "young", C150&lt;50, "middle age", C150&gt;=50, "old")</f>
        <v>middle age</v>
      </c>
      <c r="E150" s="1" t="s">
        <v>41</v>
      </c>
      <c r="F150" s="1">
        <v>6.9</v>
      </c>
      <c r="G150" s="1">
        <v>7</v>
      </c>
      <c r="H150" s="1">
        <v>50</v>
      </c>
      <c r="I150" s="1">
        <v>6</v>
      </c>
      <c r="J150" s="1" t="s">
        <v>19</v>
      </c>
      <c r="K150" s="1" t="s">
        <v>37</v>
      </c>
      <c r="L150" s="1">
        <f t="shared" si="4"/>
        <v>128</v>
      </c>
      <c r="M150" s="3">
        <f t="shared" si="5"/>
        <v>85</v>
      </c>
      <c r="N150" s="1">
        <v>75</v>
      </c>
      <c r="O150" s="1">
        <v>5500</v>
      </c>
      <c r="P150" s="1" t="s">
        <v>17</v>
      </c>
    </row>
    <row r="151" spans="1:16" ht="16.5">
      <c r="A151" s="1">
        <v>150</v>
      </c>
      <c r="B151" s="1" t="s">
        <v>28</v>
      </c>
      <c r="C151" s="1">
        <v>39</v>
      </c>
      <c r="D151" s="2" t="str" cm="1">
        <f t="array" ref="D151">_xlfn.IFS(C151&lt;35, "young", C151&lt;50, "middle age", C151&gt;=50, "old")</f>
        <v>middle age</v>
      </c>
      <c r="E151" s="1" t="s">
        <v>34</v>
      </c>
      <c r="F151" s="1">
        <v>8</v>
      </c>
      <c r="G151" s="1">
        <v>9</v>
      </c>
      <c r="H151" s="1">
        <v>80</v>
      </c>
      <c r="I151" s="1">
        <v>3</v>
      </c>
      <c r="J151" s="1" t="s">
        <v>19</v>
      </c>
      <c r="K151" s="1" t="s">
        <v>45</v>
      </c>
      <c r="L151" s="1">
        <f t="shared" si="4"/>
        <v>115</v>
      </c>
      <c r="M151" s="3">
        <f t="shared" si="5"/>
        <v>78</v>
      </c>
      <c r="N151" s="1">
        <v>67</v>
      </c>
      <c r="O151" s="1">
        <v>7500</v>
      </c>
      <c r="P151" s="1" t="s">
        <v>17</v>
      </c>
    </row>
    <row r="152" spans="1:16" ht="16.5">
      <c r="A152" s="1">
        <v>151</v>
      </c>
      <c r="B152" s="1" t="s">
        <v>28</v>
      </c>
      <c r="C152" s="1">
        <v>39</v>
      </c>
      <c r="D152" s="2" t="str" cm="1">
        <f t="array" ref="D152">_xlfn.IFS(C152&lt;35, "young", C152&lt;50, "middle age", C152&gt;=50, "old")</f>
        <v>middle age</v>
      </c>
      <c r="E152" s="1" t="s">
        <v>34</v>
      </c>
      <c r="F152" s="1">
        <v>8</v>
      </c>
      <c r="G152" s="1">
        <v>9</v>
      </c>
      <c r="H152" s="1">
        <v>80</v>
      </c>
      <c r="I152" s="1">
        <v>3</v>
      </c>
      <c r="J152" s="1" t="s">
        <v>19</v>
      </c>
      <c r="K152" s="1" t="s">
        <v>45</v>
      </c>
      <c r="L152" s="1">
        <f t="shared" si="4"/>
        <v>115</v>
      </c>
      <c r="M152" s="3">
        <f t="shared" si="5"/>
        <v>78</v>
      </c>
      <c r="N152" s="1">
        <v>67</v>
      </c>
      <c r="O152" s="1">
        <v>7500</v>
      </c>
      <c r="P152" s="1" t="s">
        <v>17</v>
      </c>
    </row>
    <row r="153" spans="1:16" ht="16.5">
      <c r="A153" s="1">
        <v>152</v>
      </c>
      <c r="B153" s="1" t="s">
        <v>13</v>
      </c>
      <c r="C153" s="1">
        <v>39</v>
      </c>
      <c r="D153" s="2" t="str" cm="1">
        <f t="array" ref="D153">_xlfn.IFS(C153&lt;35, "young", C153&lt;50, "middle age", C153&gt;=50, "old")</f>
        <v>middle age</v>
      </c>
      <c r="E153" s="1" t="s">
        <v>41</v>
      </c>
      <c r="F153" s="1">
        <v>7.2</v>
      </c>
      <c r="G153" s="1">
        <v>8</v>
      </c>
      <c r="H153" s="1">
        <v>60</v>
      </c>
      <c r="I153" s="1">
        <v>5</v>
      </c>
      <c r="J153" s="1" t="s">
        <v>19</v>
      </c>
      <c r="K153" s="1" t="s">
        <v>44</v>
      </c>
      <c r="L153" s="1">
        <f t="shared" si="4"/>
        <v>130</v>
      </c>
      <c r="M153" s="3">
        <f t="shared" si="5"/>
        <v>85</v>
      </c>
      <c r="N153" s="1">
        <v>68</v>
      </c>
      <c r="O153" s="1">
        <v>8000</v>
      </c>
      <c r="P153" s="1" t="s">
        <v>17</v>
      </c>
    </row>
    <row r="154" spans="1:16" ht="16.5">
      <c r="A154" s="1">
        <v>153</v>
      </c>
      <c r="B154" s="1" t="s">
        <v>13</v>
      </c>
      <c r="C154" s="1">
        <v>39</v>
      </c>
      <c r="D154" s="2" t="str" cm="1">
        <f t="array" ref="D154">_xlfn.IFS(C154&lt;35, "young", C154&lt;50, "middle age", C154&gt;=50, "old")</f>
        <v>middle age</v>
      </c>
      <c r="E154" s="1" t="s">
        <v>41</v>
      </c>
      <c r="F154" s="1">
        <v>7.2</v>
      </c>
      <c r="G154" s="1">
        <v>8</v>
      </c>
      <c r="H154" s="1">
        <v>60</v>
      </c>
      <c r="I154" s="1">
        <v>5</v>
      </c>
      <c r="J154" s="1" t="s">
        <v>19</v>
      </c>
      <c r="K154" s="1" t="s">
        <v>44</v>
      </c>
      <c r="L154" s="1">
        <f t="shared" si="4"/>
        <v>130</v>
      </c>
      <c r="M154" s="3">
        <f t="shared" si="5"/>
        <v>85</v>
      </c>
      <c r="N154" s="1">
        <v>68</v>
      </c>
      <c r="O154" s="1">
        <v>8000</v>
      </c>
      <c r="P154" s="1" t="s">
        <v>17</v>
      </c>
    </row>
    <row r="155" spans="1:16" ht="16.5">
      <c r="A155" s="1">
        <v>154</v>
      </c>
      <c r="B155" s="1" t="s">
        <v>13</v>
      </c>
      <c r="C155" s="1">
        <v>39</v>
      </c>
      <c r="D155" s="2" t="str" cm="1">
        <f t="array" ref="D155">_xlfn.IFS(C155&lt;35, "young", C155&lt;50, "middle age", C155&gt;=50, "old")</f>
        <v>middle age</v>
      </c>
      <c r="E155" s="1" t="s">
        <v>41</v>
      </c>
      <c r="F155" s="1">
        <v>7.2</v>
      </c>
      <c r="G155" s="1">
        <v>8</v>
      </c>
      <c r="H155" s="1">
        <v>60</v>
      </c>
      <c r="I155" s="1">
        <v>5</v>
      </c>
      <c r="J155" s="1" t="s">
        <v>19</v>
      </c>
      <c r="K155" s="1" t="s">
        <v>44</v>
      </c>
      <c r="L155" s="1">
        <f t="shared" si="4"/>
        <v>130</v>
      </c>
      <c r="M155" s="3">
        <f t="shared" si="5"/>
        <v>85</v>
      </c>
      <c r="N155" s="1">
        <v>68</v>
      </c>
      <c r="O155" s="1">
        <v>8000</v>
      </c>
      <c r="P155" s="1" t="s">
        <v>17</v>
      </c>
    </row>
    <row r="156" spans="1:16" ht="16.5">
      <c r="A156" s="1">
        <v>155</v>
      </c>
      <c r="B156" s="1" t="s">
        <v>13</v>
      </c>
      <c r="C156" s="1">
        <v>39</v>
      </c>
      <c r="D156" s="2" t="str" cm="1">
        <f t="array" ref="D156">_xlfn.IFS(C156&lt;35, "young", C156&lt;50, "middle age", C156&gt;=50, "old")</f>
        <v>middle age</v>
      </c>
      <c r="E156" s="1" t="s">
        <v>41</v>
      </c>
      <c r="F156" s="1">
        <v>7.2</v>
      </c>
      <c r="G156" s="1">
        <v>8</v>
      </c>
      <c r="H156" s="1">
        <v>60</v>
      </c>
      <c r="I156" s="1">
        <v>5</v>
      </c>
      <c r="J156" s="1" t="s">
        <v>19</v>
      </c>
      <c r="K156" s="1" t="s">
        <v>44</v>
      </c>
      <c r="L156" s="1">
        <f t="shared" si="4"/>
        <v>130</v>
      </c>
      <c r="M156" s="3">
        <f t="shared" si="5"/>
        <v>85</v>
      </c>
      <c r="N156" s="1">
        <v>68</v>
      </c>
      <c r="O156" s="1">
        <v>8000</v>
      </c>
      <c r="P156" s="1" t="s">
        <v>17</v>
      </c>
    </row>
    <row r="157" spans="1:16" ht="16.5">
      <c r="A157" s="1">
        <v>156</v>
      </c>
      <c r="B157" s="1" t="s">
        <v>13</v>
      </c>
      <c r="C157" s="1">
        <v>39</v>
      </c>
      <c r="D157" s="2" t="str" cm="1">
        <f t="array" ref="D157">_xlfn.IFS(C157&lt;35, "young", C157&lt;50, "middle age", C157&gt;=50, "old")</f>
        <v>middle age</v>
      </c>
      <c r="E157" s="1" t="s">
        <v>41</v>
      </c>
      <c r="F157" s="1">
        <v>7.2</v>
      </c>
      <c r="G157" s="1">
        <v>8</v>
      </c>
      <c r="H157" s="1">
        <v>60</v>
      </c>
      <c r="I157" s="1">
        <v>5</v>
      </c>
      <c r="J157" s="1" t="s">
        <v>19</v>
      </c>
      <c r="K157" s="1" t="s">
        <v>44</v>
      </c>
      <c r="L157" s="1">
        <f t="shared" si="4"/>
        <v>130</v>
      </c>
      <c r="M157" s="3">
        <f t="shared" si="5"/>
        <v>85</v>
      </c>
      <c r="N157" s="1">
        <v>68</v>
      </c>
      <c r="O157" s="1">
        <v>8000</v>
      </c>
      <c r="P157" s="1" t="s">
        <v>17</v>
      </c>
    </row>
    <row r="158" spans="1:16" ht="16.5">
      <c r="A158" s="1">
        <v>157</v>
      </c>
      <c r="B158" s="1" t="s">
        <v>13</v>
      </c>
      <c r="C158" s="1">
        <v>39</v>
      </c>
      <c r="D158" s="2" t="str" cm="1">
        <f t="array" ref="D158">_xlfn.IFS(C158&lt;35, "young", C158&lt;50, "middle age", C158&gt;=50, "old")</f>
        <v>middle age</v>
      </c>
      <c r="E158" s="1" t="s">
        <v>41</v>
      </c>
      <c r="F158" s="1">
        <v>7.2</v>
      </c>
      <c r="G158" s="1">
        <v>8</v>
      </c>
      <c r="H158" s="1">
        <v>60</v>
      </c>
      <c r="I158" s="1">
        <v>5</v>
      </c>
      <c r="J158" s="1" t="s">
        <v>19</v>
      </c>
      <c r="K158" s="1" t="s">
        <v>44</v>
      </c>
      <c r="L158" s="1">
        <f t="shared" si="4"/>
        <v>130</v>
      </c>
      <c r="M158" s="3">
        <f t="shared" si="5"/>
        <v>85</v>
      </c>
      <c r="N158" s="1">
        <v>68</v>
      </c>
      <c r="O158" s="1">
        <v>8000</v>
      </c>
      <c r="P158" s="1" t="s">
        <v>17</v>
      </c>
    </row>
    <row r="159" spans="1:16" ht="16.5">
      <c r="A159" s="1">
        <v>158</v>
      </c>
      <c r="B159" s="1" t="s">
        <v>13</v>
      </c>
      <c r="C159" s="1">
        <v>39</v>
      </c>
      <c r="D159" s="2" t="str" cm="1">
        <f t="array" ref="D159">_xlfn.IFS(C159&lt;35, "young", C159&lt;50, "middle age", C159&gt;=50, "old")</f>
        <v>middle age</v>
      </c>
      <c r="E159" s="1" t="s">
        <v>41</v>
      </c>
      <c r="F159" s="1">
        <v>7.2</v>
      </c>
      <c r="G159" s="1">
        <v>8</v>
      </c>
      <c r="H159" s="1">
        <v>60</v>
      </c>
      <c r="I159" s="1">
        <v>5</v>
      </c>
      <c r="J159" s="1" t="s">
        <v>19</v>
      </c>
      <c r="K159" s="1" t="s">
        <v>44</v>
      </c>
      <c r="L159" s="1">
        <f t="shared" si="4"/>
        <v>130</v>
      </c>
      <c r="M159" s="3">
        <f t="shared" si="5"/>
        <v>85</v>
      </c>
      <c r="N159" s="1">
        <v>68</v>
      </c>
      <c r="O159" s="1">
        <v>8000</v>
      </c>
      <c r="P159" s="1" t="s">
        <v>17</v>
      </c>
    </row>
    <row r="160" spans="1:16" ht="16.5">
      <c r="A160" s="1">
        <v>159</v>
      </c>
      <c r="B160" s="1" t="s">
        <v>13</v>
      </c>
      <c r="C160" s="1">
        <v>39</v>
      </c>
      <c r="D160" s="2" t="str" cm="1">
        <f t="array" ref="D160">_xlfn.IFS(C160&lt;35, "young", C160&lt;50, "middle age", C160&gt;=50, "old")</f>
        <v>middle age</v>
      </c>
      <c r="E160" s="1" t="s">
        <v>41</v>
      </c>
      <c r="F160" s="1">
        <v>7.2</v>
      </c>
      <c r="G160" s="1">
        <v>8</v>
      </c>
      <c r="H160" s="1">
        <v>60</v>
      </c>
      <c r="I160" s="1">
        <v>5</v>
      </c>
      <c r="J160" s="1" t="s">
        <v>19</v>
      </c>
      <c r="K160" s="1" t="s">
        <v>44</v>
      </c>
      <c r="L160" s="1">
        <f t="shared" si="4"/>
        <v>130</v>
      </c>
      <c r="M160" s="3">
        <f t="shared" si="5"/>
        <v>85</v>
      </c>
      <c r="N160" s="1">
        <v>68</v>
      </c>
      <c r="O160" s="1">
        <v>8000</v>
      </c>
      <c r="P160" s="1" t="s">
        <v>17</v>
      </c>
    </row>
    <row r="161" spans="1:16" ht="16.5">
      <c r="A161" s="1">
        <v>160</v>
      </c>
      <c r="B161" s="1" t="s">
        <v>13</v>
      </c>
      <c r="C161" s="1">
        <v>39</v>
      </c>
      <c r="D161" s="2" t="str" cm="1">
        <f t="array" ref="D161">_xlfn.IFS(C161&lt;35, "young", C161&lt;50, "middle age", C161&gt;=50, "old")</f>
        <v>middle age</v>
      </c>
      <c r="E161" s="1" t="s">
        <v>41</v>
      </c>
      <c r="F161" s="1">
        <v>7.2</v>
      </c>
      <c r="G161" s="1">
        <v>8</v>
      </c>
      <c r="H161" s="1">
        <v>60</v>
      </c>
      <c r="I161" s="1">
        <v>5</v>
      </c>
      <c r="J161" s="1" t="s">
        <v>19</v>
      </c>
      <c r="K161" s="1" t="s">
        <v>44</v>
      </c>
      <c r="L161" s="1">
        <f t="shared" si="4"/>
        <v>130</v>
      </c>
      <c r="M161" s="3">
        <f t="shared" si="5"/>
        <v>85</v>
      </c>
      <c r="N161" s="1">
        <v>68</v>
      </c>
      <c r="O161" s="1">
        <v>8000</v>
      </c>
      <c r="P161" s="1" t="s">
        <v>17</v>
      </c>
    </row>
    <row r="162" spans="1:16" ht="16.5">
      <c r="A162" s="1">
        <v>161</v>
      </c>
      <c r="B162" s="1" t="s">
        <v>13</v>
      </c>
      <c r="C162" s="1">
        <v>39</v>
      </c>
      <c r="D162" s="2" t="str" cm="1">
        <f t="array" ref="D162">_xlfn.IFS(C162&lt;35, "young", C162&lt;50, "middle age", C162&gt;=50, "old")</f>
        <v>middle age</v>
      </c>
      <c r="E162" s="1" t="s">
        <v>41</v>
      </c>
      <c r="F162" s="1">
        <v>7.2</v>
      </c>
      <c r="G162" s="1">
        <v>8</v>
      </c>
      <c r="H162" s="1">
        <v>60</v>
      </c>
      <c r="I162" s="1">
        <v>5</v>
      </c>
      <c r="J162" s="1" t="s">
        <v>19</v>
      </c>
      <c r="K162" s="1" t="s">
        <v>44</v>
      </c>
      <c r="L162" s="1">
        <f t="shared" si="4"/>
        <v>130</v>
      </c>
      <c r="M162" s="3">
        <f t="shared" si="5"/>
        <v>85</v>
      </c>
      <c r="N162" s="1">
        <v>68</v>
      </c>
      <c r="O162" s="1">
        <v>8000</v>
      </c>
      <c r="P162" s="1" t="s">
        <v>17</v>
      </c>
    </row>
    <row r="163" spans="1:16" ht="16.5">
      <c r="A163" s="1">
        <v>162</v>
      </c>
      <c r="B163" s="1" t="s">
        <v>28</v>
      </c>
      <c r="C163" s="1">
        <v>40</v>
      </c>
      <c r="D163" s="2" t="str" cm="1">
        <f t="array" ref="D163">_xlfn.IFS(C163&lt;35, "young", C163&lt;50, "middle age", C163&gt;=50, "old")</f>
        <v>middle age</v>
      </c>
      <c r="E163" s="1" t="s">
        <v>34</v>
      </c>
      <c r="F163" s="1">
        <v>7.2</v>
      </c>
      <c r="G163" s="1">
        <v>8</v>
      </c>
      <c r="H163" s="1">
        <v>55</v>
      </c>
      <c r="I163" s="1">
        <v>6</v>
      </c>
      <c r="J163" s="1" t="s">
        <v>19</v>
      </c>
      <c r="K163" s="1" t="s">
        <v>46</v>
      </c>
      <c r="L163" s="1">
        <f t="shared" si="4"/>
        <v>119</v>
      </c>
      <c r="M163" s="3">
        <f t="shared" si="5"/>
        <v>77</v>
      </c>
      <c r="N163" s="1">
        <v>73</v>
      </c>
      <c r="O163" s="1">
        <v>7300</v>
      </c>
      <c r="P163" s="1" t="s">
        <v>17</v>
      </c>
    </row>
    <row r="164" spans="1:16" ht="16.5">
      <c r="A164" s="1">
        <v>163</v>
      </c>
      <c r="B164" s="1" t="s">
        <v>28</v>
      </c>
      <c r="C164" s="1">
        <v>40</v>
      </c>
      <c r="D164" s="2" t="str" cm="1">
        <f t="array" ref="D164">_xlfn.IFS(C164&lt;35, "young", C164&lt;50, "middle age", C164&gt;=50, "old")</f>
        <v>middle age</v>
      </c>
      <c r="E164" s="1" t="s">
        <v>34</v>
      </c>
      <c r="F164" s="1">
        <v>7.2</v>
      </c>
      <c r="G164" s="1">
        <v>8</v>
      </c>
      <c r="H164" s="1">
        <v>55</v>
      </c>
      <c r="I164" s="1">
        <v>6</v>
      </c>
      <c r="J164" s="1" t="s">
        <v>19</v>
      </c>
      <c r="K164" s="1" t="s">
        <v>46</v>
      </c>
      <c r="L164" s="1">
        <f t="shared" si="4"/>
        <v>119</v>
      </c>
      <c r="M164" s="3">
        <f t="shared" si="5"/>
        <v>77</v>
      </c>
      <c r="N164" s="1">
        <v>73</v>
      </c>
      <c r="O164" s="1">
        <v>7300</v>
      </c>
      <c r="P164" s="1" t="s">
        <v>17</v>
      </c>
    </row>
    <row r="165" spans="1:16" ht="16.5">
      <c r="A165" s="1">
        <v>164</v>
      </c>
      <c r="B165" s="1" t="s">
        <v>13</v>
      </c>
      <c r="C165" s="1">
        <v>40</v>
      </c>
      <c r="D165" s="2" t="str" cm="1">
        <f t="array" ref="D165">_xlfn.IFS(C165&lt;35, "young", C165&lt;50, "middle age", C165&gt;=50, "old")</f>
        <v>middle age</v>
      </c>
      <c r="E165" s="1" t="s">
        <v>41</v>
      </c>
      <c r="F165" s="1">
        <v>7.9</v>
      </c>
      <c r="G165" s="1">
        <v>8</v>
      </c>
      <c r="H165" s="1">
        <v>90</v>
      </c>
      <c r="I165" s="1">
        <v>5</v>
      </c>
      <c r="J165" s="1" t="s">
        <v>19</v>
      </c>
      <c r="K165" s="1" t="s">
        <v>44</v>
      </c>
      <c r="L165" s="1">
        <f t="shared" si="4"/>
        <v>130</v>
      </c>
      <c r="M165" s="3">
        <f t="shared" si="5"/>
        <v>85</v>
      </c>
      <c r="N165" s="1">
        <v>68</v>
      </c>
      <c r="O165" s="1">
        <v>8000</v>
      </c>
      <c r="P165" s="1" t="s">
        <v>17</v>
      </c>
    </row>
    <row r="166" spans="1:16" ht="16.5">
      <c r="A166" s="1">
        <v>165</v>
      </c>
      <c r="B166" s="1" t="s">
        <v>13</v>
      </c>
      <c r="C166" s="1">
        <v>40</v>
      </c>
      <c r="D166" s="2" t="str" cm="1">
        <f t="array" ref="D166">_xlfn.IFS(C166&lt;35, "young", C166&lt;50, "middle age", C166&gt;=50, "old")</f>
        <v>middle age</v>
      </c>
      <c r="E166" s="1" t="s">
        <v>41</v>
      </c>
      <c r="F166" s="1">
        <v>7.9</v>
      </c>
      <c r="G166" s="1">
        <v>8</v>
      </c>
      <c r="H166" s="1">
        <v>90</v>
      </c>
      <c r="I166" s="1">
        <v>5</v>
      </c>
      <c r="J166" s="1" t="s">
        <v>19</v>
      </c>
      <c r="K166" s="1" t="s">
        <v>44</v>
      </c>
      <c r="L166" s="1">
        <f t="shared" si="4"/>
        <v>130</v>
      </c>
      <c r="M166" s="3">
        <f t="shared" si="5"/>
        <v>85</v>
      </c>
      <c r="N166" s="1">
        <v>68</v>
      </c>
      <c r="O166" s="1">
        <v>8000</v>
      </c>
      <c r="P166" s="1" t="s">
        <v>17</v>
      </c>
    </row>
    <row r="167" spans="1:16" ht="16.5">
      <c r="A167" s="1">
        <v>166</v>
      </c>
      <c r="B167" s="1" t="s">
        <v>13</v>
      </c>
      <c r="C167" s="1">
        <v>41</v>
      </c>
      <c r="D167" s="2" t="str" cm="1">
        <f t="array" ref="D167">_xlfn.IFS(C167&lt;35, "young", C167&lt;50, "middle age", C167&gt;=50, "old")</f>
        <v>middle age</v>
      </c>
      <c r="E167" s="1" t="s">
        <v>41</v>
      </c>
      <c r="F167" s="1">
        <v>7.6</v>
      </c>
      <c r="G167" s="1">
        <v>8</v>
      </c>
      <c r="H167" s="1">
        <v>90</v>
      </c>
      <c r="I167" s="1">
        <v>5</v>
      </c>
      <c r="J167" s="1" t="s">
        <v>19</v>
      </c>
      <c r="K167" s="1" t="s">
        <v>44</v>
      </c>
      <c r="L167" s="1">
        <f t="shared" si="4"/>
        <v>130</v>
      </c>
      <c r="M167" s="3">
        <f t="shared" si="5"/>
        <v>85</v>
      </c>
      <c r="N167" s="1">
        <v>70</v>
      </c>
      <c r="O167" s="1">
        <v>8000</v>
      </c>
      <c r="P167" s="1" t="s">
        <v>25</v>
      </c>
    </row>
    <row r="168" spans="1:16" ht="16.5">
      <c r="A168" s="1">
        <v>167</v>
      </c>
      <c r="B168" s="1" t="s">
        <v>13</v>
      </c>
      <c r="C168" s="1">
        <v>41</v>
      </c>
      <c r="D168" s="2" t="str" cm="1">
        <f t="array" ref="D168">_xlfn.IFS(C168&lt;35, "young", C168&lt;50, "middle age", C168&gt;=50, "old")</f>
        <v>middle age</v>
      </c>
      <c r="E168" s="1" t="s">
        <v>33</v>
      </c>
      <c r="F168" s="1">
        <v>7.3</v>
      </c>
      <c r="G168" s="1">
        <v>8</v>
      </c>
      <c r="H168" s="1">
        <v>70</v>
      </c>
      <c r="I168" s="1">
        <v>6</v>
      </c>
      <c r="J168" s="1" t="s">
        <v>19</v>
      </c>
      <c r="K168" s="1" t="s">
        <v>47</v>
      </c>
      <c r="L168" s="1">
        <f t="shared" si="4"/>
        <v>121</v>
      </c>
      <c r="M168" s="3">
        <f t="shared" si="5"/>
        <v>79</v>
      </c>
      <c r="N168" s="1">
        <v>72</v>
      </c>
      <c r="O168" s="1">
        <v>6200</v>
      </c>
      <c r="P168" s="1" t="s">
        <v>17</v>
      </c>
    </row>
    <row r="169" spans="1:16" ht="16.5">
      <c r="A169" s="1">
        <v>168</v>
      </c>
      <c r="B169" s="1" t="s">
        <v>13</v>
      </c>
      <c r="C169" s="1">
        <v>41</v>
      </c>
      <c r="D169" s="2" t="str" cm="1">
        <f t="array" ref="D169">_xlfn.IFS(C169&lt;35, "young", C169&lt;50, "middle age", C169&gt;=50, "old")</f>
        <v>middle age</v>
      </c>
      <c r="E169" s="1" t="s">
        <v>41</v>
      </c>
      <c r="F169" s="1">
        <v>7.1</v>
      </c>
      <c r="G169" s="1">
        <v>7</v>
      </c>
      <c r="H169" s="1">
        <v>55</v>
      </c>
      <c r="I169" s="1">
        <v>6</v>
      </c>
      <c r="J169" s="1" t="s">
        <v>15</v>
      </c>
      <c r="K169" s="1" t="s">
        <v>48</v>
      </c>
      <c r="L169" s="1">
        <f t="shared" si="4"/>
        <v>125</v>
      </c>
      <c r="M169" s="3">
        <f t="shared" si="5"/>
        <v>82</v>
      </c>
      <c r="N169" s="1">
        <v>72</v>
      </c>
      <c r="O169" s="1">
        <v>6000</v>
      </c>
      <c r="P169" s="1" t="s">
        <v>17</v>
      </c>
    </row>
    <row r="170" spans="1:16" ht="16.5">
      <c r="A170" s="1">
        <v>169</v>
      </c>
      <c r="B170" s="1" t="s">
        <v>13</v>
      </c>
      <c r="C170" s="1">
        <v>41</v>
      </c>
      <c r="D170" s="2" t="str" cm="1">
        <f t="array" ref="D170">_xlfn.IFS(C170&lt;35, "young", C170&lt;50, "middle age", C170&gt;=50, "old")</f>
        <v>middle age</v>
      </c>
      <c r="E170" s="1" t="s">
        <v>41</v>
      </c>
      <c r="F170" s="1">
        <v>7.1</v>
      </c>
      <c r="G170" s="1">
        <v>7</v>
      </c>
      <c r="H170" s="1">
        <v>55</v>
      </c>
      <c r="I170" s="1">
        <v>6</v>
      </c>
      <c r="J170" s="1" t="s">
        <v>15</v>
      </c>
      <c r="K170" s="1" t="s">
        <v>48</v>
      </c>
      <c r="L170" s="1">
        <f t="shared" si="4"/>
        <v>125</v>
      </c>
      <c r="M170" s="3">
        <f t="shared" si="5"/>
        <v>82</v>
      </c>
      <c r="N170" s="1">
        <v>72</v>
      </c>
      <c r="O170" s="1">
        <v>6000</v>
      </c>
      <c r="P170" s="1" t="s">
        <v>17</v>
      </c>
    </row>
    <row r="171" spans="1:16" ht="16.5">
      <c r="A171" s="1">
        <v>170</v>
      </c>
      <c r="B171" s="1" t="s">
        <v>13</v>
      </c>
      <c r="C171" s="1">
        <v>41</v>
      </c>
      <c r="D171" s="2" t="str" cm="1">
        <f t="array" ref="D171">_xlfn.IFS(C171&lt;35, "young", C171&lt;50, "middle age", C171&gt;=50, "old")</f>
        <v>middle age</v>
      </c>
      <c r="E171" s="1" t="s">
        <v>41</v>
      </c>
      <c r="F171" s="1">
        <v>7.7</v>
      </c>
      <c r="G171" s="1">
        <v>8</v>
      </c>
      <c r="H171" s="1">
        <v>90</v>
      </c>
      <c r="I171" s="1">
        <v>5</v>
      </c>
      <c r="J171" s="1" t="s">
        <v>19</v>
      </c>
      <c r="K171" s="1" t="s">
        <v>44</v>
      </c>
      <c r="L171" s="1">
        <f t="shared" si="4"/>
        <v>130</v>
      </c>
      <c r="M171" s="3">
        <f t="shared" si="5"/>
        <v>85</v>
      </c>
      <c r="N171" s="1">
        <v>70</v>
      </c>
      <c r="O171" s="1">
        <v>8000</v>
      </c>
      <c r="P171" s="1" t="s">
        <v>17</v>
      </c>
    </row>
    <row r="172" spans="1:16" ht="16.5">
      <c r="A172" s="1">
        <v>171</v>
      </c>
      <c r="B172" s="1" t="s">
        <v>13</v>
      </c>
      <c r="C172" s="1">
        <v>41</v>
      </c>
      <c r="D172" s="2" t="str" cm="1">
        <f t="array" ref="D172">_xlfn.IFS(C172&lt;35, "young", C172&lt;50, "middle age", C172&gt;=50, "old")</f>
        <v>middle age</v>
      </c>
      <c r="E172" s="1" t="s">
        <v>41</v>
      </c>
      <c r="F172" s="1">
        <v>7.7</v>
      </c>
      <c r="G172" s="1">
        <v>8</v>
      </c>
      <c r="H172" s="1">
        <v>90</v>
      </c>
      <c r="I172" s="1">
        <v>5</v>
      </c>
      <c r="J172" s="1" t="s">
        <v>19</v>
      </c>
      <c r="K172" s="1" t="s">
        <v>44</v>
      </c>
      <c r="L172" s="1">
        <f t="shared" si="4"/>
        <v>130</v>
      </c>
      <c r="M172" s="3">
        <f t="shared" si="5"/>
        <v>85</v>
      </c>
      <c r="N172" s="1">
        <v>70</v>
      </c>
      <c r="O172" s="1">
        <v>8000</v>
      </c>
      <c r="P172" s="1" t="s">
        <v>17</v>
      </c>
    </row>
    <row r="173" spans="1:16" ht="16.5">
      <c r="A173" s="1">
        <v>172</v>
      </c>
      <c r="B173" s="1" t="s">
        <v>13</v>
      </c>
      <c r="C173" s="1">
        <v>41</v>
      </c>
      <c r="D173" s="2" t="str" cm="1">
        <f t="array" ref="D173">_xlfn.IFS(C173&lt;35, "young", C173&lt;50, "middle age", C173&gt;=50, "old")</f>
        <v>middle age</v>
      </c>
      <c r="E173" s="1" t="s">
        <v>41</v>
      </c>
      <c r="F173" s="1">
        <v>7.7</v>
      </c>
      <c r="G173" s="1">
        <v>8</v>
      </c>
      <c r="H173" s="1">
        <v>90</v>
      </c>
      <c r="I173" s="1">
        <v>5</v>
      </c>
      <c r="J173" s="1" t="s">
        <v>19</v>
      </c>
      <c r="K173" s="1" t="s">
        <v>44</v>
      </c>
      <c r="L173" s="1">
        <f t="shared" si="4"/>
        <v>130</v>
      </c>
      <c r="M173" s="3">
        <f t="shared" si="5"/>
        <v>85</v>
      </c>
      <c r="N173" s="1">
        <v>70</v>
      </c>
      <c r="O173" s="1">
        <v>8000</v>
      </c>
      <c r="P173" s="1" t="s">
        <v>17</v>
      </c>
    </row>
    <row r="174" spans="1:16" ht="16.5">
      <c r="A174" s="1">
        <v>173</v>
      </c>
      <c r="B174" s="1" t="s">
        <v>13</v>
      </c>
      <c r="C174" s="1">
        <v>41</v>
      </c>
      <c r="D174" s="2" t="str" cm="1">
        <f t="array" ref="D174">_xlfn.IFS(C174&lt;35, "young", C174&lt;50, "middle age", C174&gt;=50, "old")</f>
        <v>middle age</v>
      </c>
      <c r="E174" s="1" t="s">
        <v>41</v>
      </c>
      <c r="F174" s="1">
        <v>7.7</v>
      </c>
      <c r="G174" s="1">
        <v>8</v>
      </c>
      <c r="H174" s="1">
        <v>90</v>
      </c>
      <c r="I174" s="1">
        <v>5</v>
      </c>
      <c r="J174" s="1" t="s">
        <v>19</v>
      </c>
      <c r="K174" s="1" t="s">
        <v>44</v>
      </c>
      <c r="L174" s="1">
        <f t="shared" si="4"/>
        <v>130</v>
      </c>
      <c r="M174" s="3">
        <f t="shared" si="5"/>
        <v>85</v>
      </c>
      <c r="N174" s="1">
        <v>70</v>
      </c>
      <c r="O174" s="1">
        <v>8000</v>
      </c>
      <c r="P174" s="1" t="s">
        <v>17</v>
      </c>
    </row>
    <row r="175" spans="1:16" ht="16.5">
      <c r="A175" s="1">
        <v>174</v>
      </c>
      <c r="B175" s="1" t="s">
        <v>13</v>
      </c>
      <c r="C175" s="1">
        <v>41</v>
      </c>
      <c r="D175" s="2" t="str" cm="1">
        <f t="array" ref="D175">_xlfn.IFS(C175&lt;35, "young", C175&lt;50, "middle age", C175&gt;=50, "old")</f>
        <v>middle age</v>
      </c>
      <c r="E175" s="1" t="s">
        <v>41</v>
      </c>
      <c r="F175" s="1">
        <v>7.7</v>
      </c>
      <c r="G175" s="1">
        <v>8</v>
      </c>
      <c r="H175" s="1">
        <v>90</v>
      </c>
      <c r="I175" s="1">
        <v>5</v>
      </c>
      <c r="J175" s="1" t="s">
        <v>19</v>
      </c>
      <c r="K175" s="1" t="s">
        <v>44</v>
      </c>
      <c r="L175" s="1">
        <f t="shared" si="4"/>
        <v>130</v>
      </c>
      <c r="M175" s="3">
        <f t="shared" si="5"/>
        <v>85</v>
      </c>
      <c r="N175" s="1">
        <v>70</v>
      </c>
      <c r="O175" s="1">
        <v>8000</v>
      </c>
      <c r="P175" s="1" t="s">
        <v>17</v>
      </c>
    </row>
    <row r="176" spans="1:16" ht="16.5">
      <c r="A176" s="1">
        <v>175</v>
      </c>
      <c r="B176" s="1" t="s">
        <v>13</v>
      </c>
      <c r="C176" s="1">
        <v>41</v>
      </c>
      <c r="D176" s="2" t="str" cm="1">
        <f t="array" ref="D176">_xlfn.IFS(C176&lt;35, "young", C176&lt;50, "middle age", C176&gt;=50, "old")</f>
        <v>middle age</v>
      </c>
      <c r="E176" s="1" t="s">
        <v>41</v>
      </c>
      <c r="F176" s="1">
        <v>7.6</v>
      </c>
      <c r="G176" s="1">
        <v>8</v>
      </c>
      <c r="H176" s="1">
        <v>90</v>
      </c>
      <c r="I176" s="1">
        <v>5</v>
      </c>
      <c r="J176" s="1" t="s">
        <v>19</v>
      </c>
      <c r="K176" s="1" t="s">
        <v>44</v>
      </c>
      <c r="L176" s="1">
        <f t="shared" si="4"/>
        <v>130</v>
      </c>
      <c r="M176" s="3">
        <f t="shared" si="5"/>
        <v>85</v>
      </c>
      <c r="N176" s="1">
        <v>70</v>
      </c>
      <c r="O176" s="1">
        <v>8000</v>
      </c>
      <c r="P176" s="1" t="s">
        <v>17</v>
      </c>
    </row>
    <row r="177" spans="1:16" ht="16.5">
      <c r="A177" s="1">
        <v>176</v>
      </c>
      <c r="B177" s="1" t="s">
        <v>13</v>
      </c>
      <c r="C177" s="1">
        <v>41</v>
      </c>
      <c r="D177" s="2" t="str" cm="1">
        <f t="array" ref="D177">_xlfn.IFS(C177&lt;35, "young", C177&lt;50, "middle age", C177&gt;=50, "old")</f>
        <v>middle age</v>
      </c>
      <c r="E177" s="1" t="s">
        <v>41</v>
      </c>
      <c r="F177" s="1">
        <v>7.6</v>
      </c>
      <c r="G177" s="1">
        <v>8</v>
      </c>
      <c r="H177" s="1">
        <v>90</v>
      </c>
      <c r="I177" s="1">
        <v>5</v>
      </c>
      <c r="J177" s="1" t="s">
        <v>19</v>
      </c>
      <c r="K177" s="1" t="s">
        <v>44</v>
      </c>
      <c r="L177" s="1">
        <f t="shared" si="4"/>
        <v>130</v>
      </c>
      <c r="M177" s="3">
        <f t="shared" si="5"/>
        <v>85</v>
      </c>
      <c r="N177" s="1">
        <v>70</v>
      </c>
      <c r="O177" s="1">
        <v>8000</v>
      </c>
      <c r="P177" s="1" t="s">
        <v>17</v>
      </c>
    </row>
    <row r="178" spans="1:16" ht="16.5">
      <c r="A178" s="1">
        <v>177</v>
      </c>
      <c r="B178" s="1" t="s">
        <v>13</v>
      </c>
      <c r="C178" s="1">
        <v>41</v>
      </c>
      <c r="D178" s="2" t="str" cm="1">
        <f t="array" ref="D178">_xlfn.IFS(C178&lt;35, "young", C178&lt;50, "middle age", C178&gt;=50, "old")</f>
        <v>middle age</v>
      </c>
      <c r="E178" s="1" t="s">
        <v>41</v>
      </c>
      <c r="F178" s="1">
        <v>7.6</v>
      </c>
      <c r="G178" s="1">
        <v>8</v>
      </c>
      <c r="H178" s="1">
        <v>90</v>
      </c>
      <c r="I178" s="1">
        <v>5</v>
      </c>
      <c r="J178" s="1" t="s">
        <v>19</v>
      </c>
      <c r="K178" s="1" t="s">
        <v>44</v>
      </c>
      <c r="L178" s="1">
        <f t="shared" si="4"/>
        <v>130</v>
      </c>
      <c r="M178" s="3">
        <f t="shared" si="5"/>
        <v>85</v>
      </c>
      <c r="N178" s="1">
        <v>70</v>
      </c>
      <c r="O178" s="1">
        <v>8000</v>
      </c>
      <c r="P178" s="1" t="s">
        <v>17</v>
      </c>
    </row>
    <row r="179" spans="1:16" ht="16.5">
      <c r="A179" s="1">
        <v>178</v>
      </c>
      <c r="B179" s="1" t="s">
        <v>13</v>
      </c>
      <c r="C179" s="1">
        <v>42</v>
      </c>
      <c r="D179" s="2" t="str" cm="1">
        <f t="array" ref="D179">_xlfn.IFS(C179&lt;35, "young", C179&lt;50, "middle age", C179&gt;=50, "old")</f>
        <v>middle age</v>
      </c>
      <c r="E179" s="1" t="s">
        <v>49</v>
      </c>
      <c r="F179" s="1">
        <v>6.5</v>
      </c>
      <c r="G179" s="1">
        <v>6</v>
      </c>
      <c r="H179" s="1">
        <v>45</v>
      </c>
      <c r="I179" s="1">
        <v>7</v>
      </c>
      <c r="J179" s="1" t="s">
        <v>15</v>
      </c>
      <c r="K179" s="1" t="s">
        <v>44</v>
      </c>
      <c r="L179" s="1">
        <f t="shared" si="4"/>
        <v>130</v>
      </c>
      <c r="M179" s="3">
        <f t="shared" si="5"/>
        <v>85</v>
      </c>
      <c r="N179" s="1">
        <v>72</v>
      </c>
      <c r="O179" s="1">
        <v>6000</v>
      </c>
      <c r="P179" s="1" t="s">
        <v>25</v>
      </c>
    </row>
    <row r="180" spans="1:16" ht="16.5">
      <c r="A180" s="1">
        <v>179</v>
      </c>
      <c r="B180" s="1" t="s">
        <v>13</v>
      </c>
      <c r="C180" s="1">
        <v>42</v>
      </c>
      <c r="D180" s="2" t="str" cm="1">
        <f t="array" ref="D180">_xlfn.IFS(C180&lt;35, "young", C180&lt;50, "middle age", C180&gt;=50, "old")</f>
        <v>middle age</v>
      </c>
      <c r="E180" s="1" t="s">
        <v>41</v>
      </c>
      <c r="F180" s="1">
        <v>7.8</v>
      </c>
      <c r="G180" s="1">
        <v>8</v>
      </c>
      <c r="H180" s="1">
        <v>90</v>
      </c>
      <c r="I180" s="1">
        <v>5</v>
      </c>
      <c r="J180" s="1" t="s">
        <v>19</v>
      </c>
      <c r="K180" s="1" t="s">
        <v>44</v>
      </c>
      <c r="L180" s="1">
        <f t="shared" si="4"/>
        <v>130</v>
      </c>
      <c r="M180" s="3">
        <f t="shared" si="5"/>
        <v>85</v>
      </c>
      <c r="N180" s="1">
        <v>70</v>
      </c>
      <c r="O180" s="1">
        <v>8000</v>
      </c>
      <c r="P180" s="1" t="s">
        <v>17</v>
      </c>
    </row>
    <row r="181" spans="1:16" ht="16.5">
      <c r="A181" s="1">
        <v>180</v>
      </c>
      <c r="B181" s="1" t="s">
        <v>13</v>
      </c>
      <c r="C181" s="1">
        <v>42</v>
      </c>
      <c r="D181" s="2" t="str" cm="1">
        <f t="array" ref="D181">_xlfn.IFS(C181&lt;35, "young", C181&lt;50, "middle age", C181&gt;=50, "old")</f>
        <v>middle age</v>
      </c>
      <c r="E181" s="1" t="s">
        <v>41</v>
      </c>
      <c r="F181" s="1">
        <v>7.8</v>
      </c>
      <c r="G181" s="1">
        <v>8</v>
      </c>
      <c r="H181" s="1">
        <v>90</v>
      </c>
      <c r="I181" s="1">
        <v>5</v>
      </c>
      <c r="J181" s="1" t="s">
        <v>19</v>
      </c>
      <c r="K181" s="1" t="s">
        <v>44</v>
      </c>
      <c r="L181" s="1">
        <f t="shared" si="4"/>
        <v>130</v>
      </c>
      <c r="M181" s="3">
        <f t="shared" si="5"/>
        <v>85</v>
      </c>
      <c r="N181" s="1">
        <v>70</v>
      </c>
      <c r="O181" s="1">
        <v>8000</v>
      </c>
      <c r="P181" s="1" t="s">
        <v>17</v>
      </c>
    </row>
    <row r="182" spans="1:16" ht="16.5">
      <c r="A182" s="1">
        <v>181</v>
      </c>
      <c r="B182" s="1" t="s">
        <v>13</v>
      </c>
      <c r="C182" s="1">
        <v>42</v>
      </c>
      <c r="D182" s="2" t="str" cm="1">
        <f t="array" ref="D182">_xlfn.IFS(C182&lt;35, "young", C182&lt;50, "middle age", C182&gt;=50, "old")</f>
        <v>middle age</v>
      </c>
      <c r="E182" s="1" t="s">
        <v>41</v>
      </c>
      <c r="F182" s="1">
        <v>7.8</v>
      </c>
      <c r="G182" s="1">
        <v>8</v>
      </c>
      <c r="H182" s="1">
        <v>90</v>
      </c>
      <c r="I182" s="1">
        <v>5</v>
      </c>
      <c r="J182" s="1" t="s">
        <v>19</v>
      </c>
      <c r="K182" s="1" t="s">
        <v>44</v>
      </c>
      <c r="L182" s="1">
        <f t="shared" si="4"/>
        <v>130</v>
      </c>
      <c r="M182" s="3">
        <f t="shared" si="5"/>
        <v>85</v>
      </c>
      <c r="N182" s="1">
        <v>70</v>
      </c>
      <c r="O182" s="1">
        <v>8000</v>
      </c>
      <c r="P182" s="1" t="s">
        <v>17</v>
      </c>
    </row>
    <row r="183" spans="1:16" ht="16.5">
      <c r="A183" s="1">
        <v>182</v>
      </c>
      <c r="B183" s="1" t="s">
        <v>13</v>
      </c>
      <c r="C183" s="1">
        <v>42</v>
      </c>
      <c r="D183" s="2" t="str" cm="1">
        <f t="array" ref="D183">_xlfn.IFS(C183&lt;35, "young", C183&lt;50, "middle age", C183&gt;=50, "old")</f>
        <v>middle age</v>
      </c>
      <c r="E183" s="1" t="s">
        <v>41</v>
      </c>
      <c r="F183" s="1">
        <v>7.8</v>
      </c>
      <c r="G183" s="1">
        <v>8</v>
      </c>
      <c r="H183" s="1">
        <v>90</v>
      </c>
      <c r="I183" s="1">
        <v>5</v>
      </c>
      <c r="J183" s="1" t="s">
        <v>19</v>
      </c>
      <c r="K183" s="1" t="s">
        <v>44</v>
      </c>
      <c r="L183" s="1">
        <f t="shared" si="4"/>
        <v>130</v>
      </c>
      <c r="M183" s="3">
        <f t="shared" si="5"/>
        <v>85</v>
      </c>
      <c r="N183" s="1">
        <v>70</v>
      </c>
      <c r="O183" s="1">
        <v>8000</v>
      </c>
      <c r="P183" s="1" t="s">
        <v>17</v>
      </c>
    </row>
    <row r="184" spans="1:16" ht="16.5">
      <c r="A184" s="1">
        <v>183</v>
      </c>
      <c r="B184" s="1" t="s">
        <v>13</v>
      </c>
      <c r="C184" s="1">
        <v>42</v>
      </c>
      <c r="D184" s="2" t="str" cm="1">
        <f t="array" ref="D184">_xlfn.IFS(C184&lt;35, "young", C184&lt;50, "middle age", C184&gt;=50, "old")</f>
        <v>middle age</v>
      </c>
      <c r="E184" s="1" t="s">
        <v>41</v>
      </c>
      <c r="F184" s="1">
        <v>7.8</v>
      </c>
      <c r="G184" s="1">
        <v>8</v>
      </c>
      <c r="H184" s="1">
        <v>90</v>
      </c>
      <c r="I184" s="1">
        <v>5</v>
      </c>
      <c r="J184" s="1" t="s">
        <v>19</v>
      </c>
      <c r="K184" s="1" t="s">
        <v>44</v>
      </c>
      <c r="L184" s="1">
        <f t="shared" si="4"/>
        <v>130</v>
      </c>
      <c r="M184" s="3">
        <f t="shared" si="5"/>
        <v>85</v>
      </c>
      <c r="N184" s="1">
        <v>70</v>
      </c>
      <c r="O184" s="1">
        <v>8000</v>
      </c>
      <c r="P184" s="1" t="s">
        <v>17</v>
      </c>
    </row>
    <row r="185" spans="1:16" ht="16.5">
      <c r="A185" s="1">
        <v>184</v>
      </c>
      <c r="B185" s="1" t="s">
        <v>13</v>
      </c>
      <c r="C185" s="1">
        <v>42</v>
      </c>
      <c r="D185" s="2" t="str" cm="1">
        <f t="array" ref="D185">_xlfn.IFS(C185&lt;35, "young", C185&lt;50, "middle age", C185&gt;=50, "old")</f>
        <v>middle age</v>
      </c>
      <c r="E185" s="1" t="s">
        <v>41</v>
      </c>
      <c r="F185" s="1">
        <v>7.8</v>
      </c>
      <c r="G185" s="1">
        <v>8</v>
      </c>
      <c r="H185" s="1">
        <v>90</v>
      </c>
      <c r="I185" s="1">
        <v>5</v>
      </c>
      <c r="J185" s="1" t="s">
        <v>19</v>
      </c>
      <c r="K185" s="1" t="s">
        <v>44</v>
      </c>
      <c r="L185" s="1">
        <f t="shared" si="4"/>
        <v>130</v>
      </c>
      <c r="M185" s="3">
        <f t="shared" si="5"/>
        <v>85</v>
      </c>
      <c r="N185" s="1">
        <v>70</v>
      </c>
      <c r="O185" s="1">
        <v>8000</v>
      </c>
      <c r="P185" s="1" t="s">
        <v>17</v>
      </c>
    </row>
    <row r="186" spans="1:16" ht="16.5">
      <c r="A186" s="1">
        <v>185</v>
      </c>
      <c r="B186" s="1" t="s">
        <v>28</v>
      </c>
      <c r="C186" s="1">
        <v>42</v>
      </c>
      <c r="D186" s="2" t="str" cm="1">
        <f t="array" ref="D186">_xlfn.IFS(C186&lt;35, "young", C186&lt;50, "middle age", C186&gt;=50, "old")</f>
        <v>middle age</v>
      </c>
      <c r="E186" s="1" t="s">
        <v>26</v>
      </c>
      <c r="F186" s="1">
        <v>6.8</v>
      </c>
      <c r="G186" s="1">
        <v>6</v>
      </c>
      <c r="H186" s="1">
        <v>45</v>
      </c>
      <c r="I186" s="1">
        <v>7</v>
      </c>
      <c r="J186" s="1" t="s">
        <v>15</v>
      </c>
      <c r="K186" s="1" t="s">
        <v>44</v>
      </c>
      <c r="L186" s="1">
        <f t="shared" si="4"/>
        <v>130</v>
      </c>
      <c r="M186" s="3">
        <f t="shared" si="5"/>
        <v>85</v>
      </c>
      <c r="N186" s="1">
        <v>78</v>
      </c>
      <c r="O186" s="1">
        <v>5000</v>
      </c>
      <c r="P186" s="1" t="s">
        <v>24</v>
      </c>
    </row>
    <row r="187" spans="1:16" ht="16.5">
      <c r="A187" s="1">
        <v>186</v>
      </c>
      <c r="B187" s="1" t="s">
        <v>28</v>
      </c>
      <c r="C187" s="1">
        <v>42</v>
      </c>
      <c r="D187" s="2" t="str" cm="1">
        <f t="array" ref="D187">_xlfn.IFS(C187&lt;35, "young", C187&lt;50, "middle age", C187&gt;=50, "old")</f>
        <v>middle age</v>
      </c>
      <c r="E187" s="1" t="s">
        <v>26</v>
      </c>
      <c r="F187" s="1">
        <v>6.8</v>
      </c>
      <c r="G187" s="1">
        <v>6</v>
      </c>
      <c r="H187" s="1">
        <v>45</v>
      </c>
      <c r="I187" s="1">
        <v>7</v>
      </c>
      <c r="J187" s="1" t="s">
        <v>15</v>
      </c>
      <c r="K187" s="1" t="s">
        <v>44</v>
      </c>
      <c r="L187" s="1">
        <f t="shared" si="4"/>
        <v>130</v>
      </c>
      <c r="M187" s="3">
        <f t="shared" si="5"/>
        <v>85</v>
      </c>
      <c r="N187" s="1">
        <v>78</v>
      </c>
      <c r="O187" s="1">
        <v>5000</v>
      </c>
      <c r="P187" s="1" t="s">
        <v>24</v>
      </c>
    </row>
    <row r="188" spans="1:16" ht="16.5">
      <c r="A188" s="1">
        <v>187</v>
      </c>
      <c r="B188" s="1" t="s">
        <v>28</v>
      </c>
      <c r="C188" s="1">
        <v>43</v>
      </c>
      <c r="D188" s="2" t="str" cm="1">
        <f t="array" ref="D188">_xlfn.IFS(C188&lt;35, "young", C188&lt;50, "middle age", C188&gt;=50, "old")</f>
        <v>middle age</v>
      </c>
      <c r="E188" s="1" t="s">
        <v>26</v>
      </c>
      <c r="F188" s="1">
        <v>6.7</v>
      </c>
      <c r="G188" s="1">
        <v>7</v>
      </c>
      <c r="H188" s="1">
        <v>45</v>
      </c>
      <c r="I188" s="1">
        <v>4</v>
      </c>
      <c r="J188" s="1" t="s">
        <v>15</v>
      </c>
      <c r="K188" s="1" t="s">
        <v>50</v>
      </c>
      <c r="L188" s="1">
        <f t="shared" si="4"/>
        <v>135</v>
      </c>
      <c r="M188" s="3">
        <f t="shared" si="5"/>
        <v>90</v>
      </c>
      <c r="N188" s="1">
        <v>65</v>
      </c>
      <c r="O188" s="1">
        <v>6000</v>
      </c>
      <c r="P188" s="1" t="s">
        <v>25</v>
      </c>
    </row>
    <row r="189" spans="1:16" ht="16.5">
      <c r="A189" s="1">
        <v>188</v>
      </c>
      <c r="B189" s="1" t="s">
        <v>13</v>
      </c>
      <c r="C189" s="1">
        <v>43</v>
      </c>
      <c r="D189" s="2" t="str" cm="1">
        <f t="array" ref="D189">_xlfn.IFS(C189&lt;35, "young", C189&lt;50, "middle age", C189&gt;=50, "old")</f>
        <v>middle age</v>
      </c>
      <c r="E189" s="1" t="s">
        <v>49</v>
      </c>
      <c r="F189" s="1">
        <v>6.3</v>
      </c>
      <c r="G189" s="1">
        <v>6</v>
      </c>
      <c r="H189" s="1">
        <v>45</v>
      </c>
      <c r="I189" s="1">
        <v>7</v>
      </c>
      <c r="J189" s="1" t="s">
        <v>15</v>
      </c>
      <c r="K189" s="1" t="s">
        <v>44</v>
      </c>
      <c r="L189" s="1">
        <f t="shared" si="4"/>
        <v>130</v>
      </c>
      <c r="M189" s="3">
        <f t="shared" si="5"/>
        <v>85</v>
      </c>
      <c r="N189" s="1">
        <v>72</v>
      </c>
      <c r="O189" s="1">
        <v>6000</v>
      </c>
      <c r="P189" s="1" t="s">
        <v>25</v>
      </c>
    </row>
    <row r="190" spans="1:16" ht="16.5">
      <c r="A190" s="1">
        <v>189</v>
      </c>
      <c r="B190" s="1" t="s">
        <v>28</v>
      </c>
      <c r="C190" s="1">
        <v>43</v>
      </c>
      <c r="D190" s="2" t="str" cm="1">
        <f t="array" ref="D190">_xlfn.IFS(C190&lt;35, "young", C190&lt;50, "middle age", C190&gt;=50, "old")</f>
        <v>middle age</v>
      </c>
      <c r="E190" s="1" t="s">
        <v>26</v>
      </c>
      <c r="F190" s="1">
        <v>6.7</v>
      </c>
      <c r="G190" s="1">
        <v>7</v>
      </c>
      <c r="H190" s="1">
        <v>45</v>
      </c>
      <c r="I190" s="1">
        <v>4</v>
      </c>
      <c r="J190" s="1" t="s">
        <v>15</v>
      </c>
      <c r="K190" s="1" t="s">
        <v>50</v>
      </c>
      <c r="L190" s="1">
        <f t="shared" si="4"/>
        <v>135</v>
      </c>
      <c r="M190" s="3">
        <f t="shared" si="5"/>
        <v>90</v>
      </c>
      <c r="N190" s="1">
        <v>65</v>
      </c>
      <c r="O190" s="1">
        <v>6000</v>
      </c>
      <c r="P190" s="1" t="s">
        <v>25</v>
      </c>
    </row>
    <row r="191" spans="1:16" ht="16.5">
      <c r="A191" s="1">
        <v>190</v>
      </c>
      <c r="B191" s="1" t="s">
        <v>13</v>
      </c>
      <c r="C191" s="1">
        <v>43</v>
      </c>
      <c r="D191" s="2" t="str" cm="1">
        <f t="array" ref="D191">_xlfn.IFS(C191&lt;35, "young", C191&lt;50, "middle age", C191&gt;=50, "old")</f>
        <v>middle age</v>
      </c>
      <c r="E191" s="1" t="s">
        <v>49</v>
      </c>
      <c r="F191" s="1">
        <v>6.5</v>
      </c>
      <c r="G191" s="1">
        <v>6</v>
      </c>
      <c r="H191" s="1">
        <v>45</v>
      </c>
      <c r="I191" s="1">
        <v>7</v>
      </c>
      <c r="J191" s="1" t="s">
        <v>15</v>
      </c>
      <c r="K191" s="1" t="s">
        <v>44</v>
      </c>
      <c r="L191" s="1">
        <f t="shared" si="4"/>
        <v>130</v>
      </c>
      <c r="M191" s="3">
        <f t="shared" si="5"/>
        <v>85</v>
      </c>
      <c r="N191" s="1">
        <v>72</v>
      </c>
      <c r="O191" s="1">
        <v>6000</v>
      </c>
      <c r="P191" s="1" t="s">
        <v>25</v>
      </c>
    </row>
    <row r="192" spans="1:16" ht="16.5">
      <c r="A192" s="1">
        <v>191</v>
      </c>
      <c r="B192" s="1" t="s">
        <v>28</v>
      </c>
      <c r="C192" s="1">
        <v>43</v>
      </c>
      <c r="D192" s="2" t="str" cm="1">
        <f t="array" ref="D192">_xlfn.IFS(C192&lt;35, "young", C192&lt;50, "middle age", C192&gt;=50, "old")</f>
        <v>middle age</v>
      </c>
      <c r="E192" s="1" t="s">
        <v>26</v>
      </c>
      <c r="F192" s="1">
        <v>6.7</v>
      </c>
      <c r="G192" s="1">
        <v>7</v>
      </c>
      <c r="H192" s="1">
        <v>45</v>
      </c>
      <c r="I192" s="1">
        <v>4</v>
      </c>
      <c r="J192" s="1" t="s">
        <v>15</v>
      </c>
      <c r="K192" s="1" t="s">
        <v>50</v>
      </c>
      <c r="L192" s="1">
        <f t="shared" si="4"/>
        <v>135</v>
      </c>
      <c r="M192" s="3">
        <f t="shared" si="5"/>
        <v>90</v>
      </c>
      <c r="N192" s="1">
        <v>65</v>
      </c>
      <c r="O192" s="1">
        <v>6000</v>
      </c>
      <c r="P192" s="1" t="s">
        <v>25</v>
      </c>
    </row>
    <row r="193" spans="1:16" ht="16.5">
      <c r="A193" s="1">
        <v>192</v>
      </c>
      <c r="B193" s="1" t="s">
        <v>13</v>
      </c>
      <c r="C193" s="1">
        <v>43</v>
      </c>
      <c r="D193" s="2" t="str" cm="1">
        <f t="array" ref="D193">_xlfn.IFS(C193&lt;35, "young", C193&lt;50, "middle age", C193&gt;=50, "old")</f>
        <v>middle age</v>
      </c>
      <c r="E193" s="1" t="s">
        <v>49</v>
      </c>
      <c r="F193" s="1">
        <v>6.4</v>
      </c>
      <c r="G193" s="1">
        <v>6</v>
      </c>
      <c r="H193" s="1">
        <v>45</v>
      </c>
      <c r="I193" s="1">
        <v>7</v>
      </c>
      <c r="J193" s="1" t="s">
        <v>15</v>
      </c>
      <c r="K193" s="1" t="s">
        <v>44</v>
      </c>
      <c r="L193" s="1">
        <f t="shared" si="4"/>
        <v>130</v>
      </c>
      <c r="M193" s="3">
        <f t="shared" si="5"/>
        <v>85</v>
      </c>
      <c r="N193" s="1">
        <v>72</v>
      </c>
      <c r="O193" s="1">
        <v>6000</v>
      </c>
      <c r="P193" s="1" t="s">
        <v>25</v>
      </c>
    </row>
    <row r="194" spans="1:16" ht="16.5">
      <c r="A194" s="1">
        <v>193</v>
      </c>
      <c r="B194" s="1" t="s">
        <v>13</v>
      </c>
      <c r="C194" s="1">
        <v>43</v>
      </c>
      <c r="D194" s="2" t="str" cm="1">
        <f t="array" ref="D194">_xlfn.IFS(C194&lt;35, "young", C194&lt;50, "middle age", C194&gt;=50, "old")</f>
        <v>middle age</v>
      </c>
      <c r="E194" s="1" t="s">
        <v>49</v>
      </c>
      <c r="F194" s="1">
        <v>6.5</v>
      </c>
      <c r="G194" s="1">
        <v>6</v>
      </c>
      <c r="H194" s="1">
        <v>45</v>
      </c>
      <c r="I194" s="1">
        <v>7</v>
      </c>
      <c r="J194" s="1" t="s">
        <v>15</v>
      </c>
      <c r="K194" s="1" t="s">
        <v>44</v>
      </c>
      <c r="L194" s="1">
        <f t="shared" si="4"/>
        <v>130</v>
      </c>
      <c r="M194" s="3">
        <f t="shared" si="5"/>
        <v>85</v>
      </c>
      <c r="N194" s="1">
        <v>72</v>
      </c>
      <c r="O194" s="1">
        <v>6000</v>
      </c>
      <c r="P194" s="1" t="s">
        <v>25</v>
      </c>
    </row>
    <row r="195" spans="1:16" ht="16.5">
      <c r="A195" s="1">
        <v>194</v>
      </c>
      <c r="B195" s="1" t="s">
        <v>13</v>
      </c>
      <c r="C195" s="1">
        <v>43</v>
      </c>
      <c r="D195" s="2" t="str" cm="1">
        <f t="array" ref="D195">_xlfn.IFS(C195&lt;35, "young", C195&lt;50, "middle age", C195&gt;=50, "old")</f>
        <v>middle age</v>
      </c>
      <c r="E195" s="1" t="s">
        <v>49</v>
      </c>
      <c r="F195" s="1">
        <v>6.5</v>
      </c>
      <c r="G195" s="1">
        <v>6</v>
      </c>
      <c r="H195" s="1">
        <v>45</v>
      </c>
      <c r="I195" s="1">
        <v>7</v>
      </c>
      <c r="J195" s="1" t="s">
        <v>15</v>
      </c>
      <c r="K195" s="1" t="s">
        <v>44</v>
      </c>
      <c r="L195" s="1">
        <f t="shared" ref="L195:L258" si="6">VALUE(_xlfn.TEXTBEFORE(K195,"/"))</f>
        <v>130</v>
      </c>
      <c r="M195" s="3">
        <f t="shared" ref="M195:M258" si="7">VALUE(_xlfn.TEXTAFTER(K195,"/"))</f>
        <v>85</v>
      </c>
      <c r="N195" s="1">
        <v>72</v>
      </c>
      <c r="O195" s="1">
        <v>6000</v>
      </c>
      <c r="P195" s="1" t="s">
        <v>25</v>
      </c>
    </row>
    <row r="196" spans="1:16" ht="16.5">
      <c r="A196" s="1">
        <v>195</v>
      </c>
      <c r="B196" s="1" t="s">
        <v>13</v>
      </c>
      <c r="C196" s="1">
        <v>43</v>
      </c>
      <c r="D196" s="2" t="str" cm="1">
        <f t="array" ref="D196">_xlfn.IFS(C196&lt;35, "young", C196&lt;50, "middle age", C196&gt;=50, "old")</f>
        <v>middle age</v>
      </c>
      <c r="E196" s="1" t="s">
        <v>49</v>
      </c>
      <c r="F196" s="1">
        <v>6.5</v>
      </c>
      <c r="G196" s="1">
        <v>6</v>
      </c>
      <c r="H196" s="1">
        <v>45</v>
      </c>
      <c r="I196" s="1">
        <v>7</v>
      </c>
      <c r="J196" s="1" t="s">
        <v>15</v>
      </c>
      <c r="K196" s="1" t="s">
        <v>44</v>
      </c>
      <c r="L196" s="1">
        <f t="shared" si="6"/>
        <v>130</v>
      </c>
      <c r="M196" s="3">
        <f t="shared" si="7"/>
        <v>85</v>
      </c>
      <c r="N196" s="1">
        <v>72</v>
      </c>
      <c r="O196" s="1">
        <v>6000</v>
      </c>
      <c r="P196" s="1" t="s">
        <v>25</v>
      </c>
    </row>
    <row r="197" spans="1:16" ht="16.5">
      <c r="A197" s="1">
        <v>196</v>
      </c>
      <c r="B197" s="1" t="s">
        <v>13</v>
      </c>
      <c r="C197" s="1">
        <v>43</v>
      </c>
      <c r="D197" s="2" t="str" cm="1">
        <f t="array" ref="D197">_xlfn.IFS(C197&lt;35, "young", C197&lt;50, "middle age", C197&gt;=50, "old")</f>
        <v>middle age</v>
      </c>
      <c r="E197" s="1" t="s">
        <v>49</v>
      </c>
      <c r="F197" s="1">
        <v>6.5</v>
      </c>
      <c r="G197" s="1">
        <v>6</v>
      </c>
      <c r="H197" s="1">
        <v>45</v>
      </c>
      <c r="I197" s="1">
        <v>7</v>
      </c>
      <c r="J197" s="1" t="s">
        <v>15</v>
      </c>
      <c r="K197" s="1" t="s">
        <v>44</v>
      </c>
      <c r="L197" s="1">
        <f t="shared" si="6"/>
        <v>130</v>
      </c>
      <c r="M197" s="3">
        <f t="shared" si="7"/>
        <v>85</v>
      </c>
      <c r="N197" s="1">
        <v>72</v>
      </c>
      <c r="O197" s="1">
        <v>6000</v>
      </c>
      <c r="P197" s="1" t="s">
        <v>25</v>
      </c>
    </row>
    <row r="198" spans="1:16" ht="16.5">
      <c r="A198" s="1">
        <v>197</v>
      </c>
      <c r="B198" s="1" t="s">
        <v>13</v>
      </c>
      <c r="C198" s="1">
        <v>43</v>
      </c>
      <c r="D198" s="2" t="str" cm="1">
        <f t="array" ref="D198">_xlfn.IFS(C198&lt;35, "young", C198&lt;50, "middle age", C198&gt;=50, "old")</f>
        <v>middle age</v>
      </c>
      <c r="E198" s="1" t="s">
        <v>49</v>
      </c>
      <c r="F198" s="1">
        <v>6.5</v>
      </c>
      <c r="G198" s="1">
        <v>6</v>
      </c>
      <c r="H198" s="1">
        <v>45</v>
      </c>
      <c r="I198" s="1">
        <v>7</v>
      </c>
      <c r="J198" s="1" t="s">
        <v>15</v>
      </c>
      <c r="K198" s="1" t="s">
        <v>44</v>
      </c>
      <c r="L198" s="1">
        <f t="shared" si="6"/>
        <v>130</v>
      </c>
      <c r="M198" s="3">
        <f t="shared" si="7"/>
        <v>85</v>
      </c>
      <c r="N198" s="1">
        <v>72</v>
      </c>
      <c r="O198" s="1">
        <v>6000</v>
      </c>
      <c r="P198" s="1" t="s">
        <v>25</v>
      </c>
    </row>
    <row r="199" spans="1:16" ht="16.5">
      <c r="A199" s="1">
        <v>198</v>
      </c>
      <c r="B199" s="1" t="s">
        <v>13</v>
      </c>
      <c r="C199" s="1">
        <v>43</v>
      </c>
      <c r="D199" s="2" t="str" cm="1">
        <f t="array" ref="D199">_xlfn.IFS(C199&lt;35, "young", C199&lt;50, "middle age", C199&gt;=50, "old")</f>
        <v>middle age</v>
      </c>
      <c r="E199" s="1" t="s">
        <v>49</v>
      </c>
      <c r="F199" s="1">
        <v>6.5</v>
      </c>
      <c r="G199" s="1">
        <v>6</v>
      </c>
      <c r="H199" s="1">
        <v>45</v>
      </c>
      <c r="I199" s="1">
        <v>7</v>
      </c>
      <c r="J199" s="1" t="s">
        <v>15</v>
      </c>
      <c r="K199" s="1" t="s">
        <v>44</v>
      </c>
      <c r="L199" s="1">
        <f t="shared" si="6"/>
        <v>130</v>
      </c>
      <c r="M199" s="3">
        <f t="shared" si="7"/>
        <v>85</v>
      </c>
      <c r="N199" s="1">
        <v>72</v>
      </c>
      <c r="O199" s="1">
        <v>6000</v>
      </c>
      <c r="P199" s="1" t="s">
        <v>25</v>
      </c>
    </row>
    <row r="200" spans="1:16" ht="16.5">
      <c r="A200" s="1">
        <v>199</v>
      </c>
      <c r="B200" s="1" t="s">
        <v>13</v>
      </c>
      <c r="C200" s="1">
        <v>43</v>
      </c>
      <c r="D200" s="2" t="str" cm="1">
        <f t="array" ref="D200">_xlfn.IFS(C200&lt;35, "young", C200&lt;50, "middle age", C200&gt;=50, "old")</f>
        <v>middle age</v>
      </c>
      <c r="E200" s="1" t="s">
        <v>49</v>
      </c>
      <c r="F200" s="1">
        <v>6.5</v>
      </c>
      <c r="G200" s="1">
        <v>6</v>
      </c>
      <c r="H200" s="1">
        <v>45</v>
      </c>
      <c r="I200" s="1">
        <v>7</v>
      </c>
      <c r="J200" s="1" t="s">
        <v>15</v>
      </c>
      <c r="K200" s="1" t="s">
        <v>44</v>
      </c>
      <c r="L200" s="1">
        <f t="shared" si="6"/>
        <v>130</v>
      </c>
      <c r="M200" s="3">
        <f t="shared" si="7"/>
        <v>85</v>
      </c>
      <c r="N200" s="1">
        <v>72</v>
      </c>
      <c r="O200" s="1">
        <v>6000</v>
      </c>
      <c r="P200" s="1" t="s">
        <v>25</v>
      </c>
    </row>
    <row r="201" spans="1:16" ht="16.5">
      <c r="A201" s="1">
        <v>200</v>
      </c>
      <c r="B201" s="1" t="s">
        <v>13</v>
      </c>
      <c r="C201" s="1">
        <v>43</v>
      </c>
      <c r="D201" s="2" t="str" cm="1">
        <f t="array" ref="D201">_xlfn.IFS(C201&lt;35, "young", C201&lt;50, "middle age", C201&gt;=50, "old")</f>
        <v>middle age</v>
      </c>
      <c r="E201" s="1" t="s">
        <v>49</v>
      </c>
      <c r="F201" s="1">
        <v>6.5</v>
      </c>
      <c r="G201" s="1">
        <v>6</v>
      </c>
      <c r="H201" s="1">
        <v>45</v>
      </c>
      <c r="I201" s="1">
        <v>7</v>
      </c>
      <c r="J201" s="1" t="s">
        <v>15</v>
      </c>
      <c r="K201" s="1" t="s">
        <v>44</v>
      </c>
      <c r="L201" s="1">
        <f t="shared" si="6"/>
        <v>130</v>
      </c>
      <c r="M201" s="3">
        <f t="shared" si="7"/>
        <v>85</v>
      </c>
      <c r="N201" s="1">
        <v>72</v>
      </c>
      <c r="O201" s="1">
        <v>6000</v>
      </c>
      <c r="P201" s="1" t="s">
        <v>25</v>
      </c>
    </row>
    <row r="202" spans="1:16" ht="16.5">
      <c r="A202" s="1">
        <v>201</v>
      </c>
      <c r="B202" s="1" t="s">
        <v>13</v>
      </c>
      <c r="C202" s="1">
        <v>43</v>
      </c>
      <c r="D202" s="2" t="str" cm="1">
        <f t="array" ref="D202">_xlfn.IFS(C202&lt;35, "young", C202&lt;50, "middle age", C202&gt;=50, "old")</f>
        <v>middle age</v>
      </c>
      <c r="E202" s="1" t="s">
        <v>49</v>
      </c>
      <c r="F202" s="1">
        <v>6.5</v>
      </c>
      <c r="G202" s="1">
        <v>6</v>
      </c>
      <c r="H202" s="1">
        <v>45</v>
      </c>
      <c r="I202" s="1">
        <v>7</v>
      </c>
      <c r="J202" s="1" t="s">
        <v>15</v>
      </c>
      <c r="K202" s="1" t="s">
        <v>44</v>
      </c>
      <c r="L202" s="1">
        <f t="shared" si="6"/>
        <v>130</v>
      </c>
      <c r="M202" s="3">
        <f t="shared" si="7"/>
        <v>85</v>
      </c>
      <c r="N202" s="1">
        <v>72</v>
      </c>
      <c r="O202" s="1">
        <v>6000</v>
      </c>
      <c r="P202" s="1" t="s">
        <v>25</v>
      </c>
    </row>
    <row r="203" spans="1:16" ht="16.5">
      <c r="A203" s="1">
        <v>202</v>
      </c>
      <c r="B203" s="1" t="s">
        <v>13</v>
      </c>
      <c r="C203" s="1">
        <v>43</v>
      </c>
      <c r="D203" s="2" t="str" cm="1">
        <f t="array" ref="D203">_xlfn.IFS(C203&lt;35, "young", C203&lt;50, "middle age", C203&gt;=50, "old")</f>
        <v>middle age</v>
      </c>
      <c r="E203" s="1" t="s">
        <v>33</v>
      </c>
      <c r="F203" s="1">
        <v>7.8</v>
      </c>
      <c r="G203" s="1">
        <v>8</v>
      </c>
      <c r="H203" s="1">
        <v>90</v>
      </c>
      <c r="I203" s="1">
        <v>5</v>
      </c>
      <c r="J203" s="1" t="s">
        <v>19</v>
      </c>
      <c r="K203" s="1" t="s">
        <v>44</v>
      </c>
      <c r="L203" s="1">
        <f t="shared" si="6"/>
        <v>130</v>
      </c>
      <c r="M203" s="3">
        <f t="shared" si="7"/>
        <v>85</v>
      </c>
      <c r="N203" s="1">
        <v>70</v>
      </c>
      <c r="O203" s="1">
        <v>8000</v>
      </c>
      <c r="P203" s="1" t="s">
        <v>25</v>
      </c>
    </row>
    <row r="204" spans="1:16" ht="16.5">
      <c r="A204" s="1">
        <v>203</v>
      </c>
      <c r="B204" s="1" t="s">
        <v>13</v>
      </c>
      <c r="C204" s="1">
        <v>43</v>
      </c>
      <c r="D204" s="2" t="str" cm="1">
        <f t="array" ref="D204">_xlfn.IFS(C204&lt;35, "young", C204&lt;50, "middle age", C204&gt;=50, "old")</f>
        <v>middle age</v>
      </c>
      <c r="E204" s="1" t="s">
        <v>33</v>
      </c>
      <c r="F204" s="1">
        <v>7.8</v>
      </c>
      <c r="G204" s="1">
        <v>8</v>
      </c>
      <c r="H204" s="1">
        <v>90</v>
      </c>
      <c r="I204" s="1">
        <v>5</v>
      </c>
      <c r="J204" s="1" t="s">
        <v>19</v>
      </c>
      <c r="K204" s="1" t="s">
        <v>44</v>
      </c>
      <c r="L204" s="1">
        <f t="shared" si="6"/>
        <v>130</v>
      </c>
      <c r="M204" s="3">
        <f t="shared" si="7"/>
        <v>85</v>
      </c>
      <c r="N204" s="1">
        <v>70</v>
      </c>
      <c r="O204" s="1">
        <v>8000</v>
      </c>
      <c r="P204" s="1" t="s">
        <v>25</v>
      </c>
    </row>
    <row r="205" spans="1:16" ht="16.5">
      <c r="A205" s="1">
        <v>204</v>
      </c>
      <c r="B205" s="1" t="s">
        <v>13</v>
      </c>
      <c r="C205" s="1">
        <v>43</v>
      </c>
      <c r="D205" s="2" t="str" cm="1">
        <f t="array" ref="D205">_xlfn.IFS(C205&lt;35, "young", C205&lt;50, "middle age", C205&gt;=50, "old")</f>
        <v>middle age</v>
      </c>
      <c r="E205" s="1" t="s">
        <v>33</v>
      </c>
      <c r="F205" s="1">
        <v>6.9</v>
      </c>
      <c r="G205" s="1">
        <v>6</v>
      </c>
      <c r="H205" s="1">
        <v>47</v>
      </c>
      <c r="I205" s="1">
        <v>7</v>
      </c>
      <c r="J205" s="1" t="s">
        <v>19</v>
      </c>
      <c r="K205" s="1" t="s">
        <v>32</v>
      </c>
      <c r="L205" s="1">
        <f t="shared" si="6"/>
        <v>117</v>
      </c>
      <c r="M205" s="3">
        <f t="shared" si="7"/>
        <v>76</v>
      </c>
      <c r="N205" s="1">
        <v>69</v>
      </c>
      <c r="O205" s="1">
        <v>6800</v>
      </c>
      <c r="P205" s="1" t="s">
        <v>17</v>
      </c>
    </row>
    <row r="206" spans="1:16" ht="16.5">
      <c r="A206" s="1">
        <v>205</v>
      </c>
      <c r="B206" s="1" t="s">
        <v>13</v>
      </c>
      <c r="C206" s="1">
        <v>43</v>
      </c>
      <c r="D206" s="2" t="str" cm="1">
        <f t="array" ref="D206">_xlfn.IFS(C206&lt;35, "young", C206&lt;50, "middle age", C206&gt;=50, "old")</f>
        <v>middle age</v>
      </c>
      <c r="E206" s="1" t="s">
        <v>33</v>
      </c>
      <c r="F206" s="1">
        <v>7.6</v>
      </c>
      <c r="G206" s="1">
        <v>8</v>
      </c>
      <c r="H206" s="1">
        <v>75</v>
      </c>
      <c r="I206" s="1">
        <v>4</v>
      </c>
      <c r="J206" s="1" t="s">
        <v>15</v>
      </c>
      <c r="K206" s="1" t="s">
        <v>51</v>
      </c>
      <c r="L206" s="1">
        <f t="shared" si="6"/>
        <v>122</v>
      </c>
      <c r="M206" s="3">
        <f t="shared" si="7"/>
        <v>80</v>
      </c>
      <c r="N206" s="1">
        <v>68</v>
      </c>
      <c r="O206" s="1">
        <v>6800</v>
      </c>
      <c r="P206" s="1" t="s">
        <v>17</v>
      </c>
    </row>
    <row r="207" spans="1:16" ht="16.5">
      <c r="A207" s="1">
        <v>206</v>
      </c>
      <c r="B207" s="1" t="s">
        <v>13</v>
      </c>
      <c r="C207" s="1">
        <v>43</v>
      </c>
      <c r="D207" s="2" t="str" cm="1">
        <f t="array" ref="D207">_xlfn.IFS(C207&lt;35, "young", C207&lt;50, "middle age", C207&gt;=50, "old")</f>
        <v>middle age</v>
      </c>
      <c r="E207" s="1" t="s">
        <v>33</v>
      </c>
      <c r="F207" s="1">
        <v>7.7</v>
      </c>
      <c r="G207" s="1">
        <v>8</v>
      </c>
      <c r="H207" s="1">
        <v>90</v>
      </c>
      <c r="I207" s="1">
        <v>5</v>
      </c>
      <c r="J207" s="1" t="s">
        <v>19</v>
      </c>
      <c r="K207" s="1" t="s">
        <v>44</v>
      </c>
      <c r="L207" s="1">
        <f t="shared" si="6"/>
        <v>130</v>
      </c>
      <c r="M207" s="3">
        <f t="shared" si="7"/>
        <v>85</v>
      </c>
      <c r="N207" s="1">
        <v>70</v>
      </c>
      <c r="O207" s="1">
        <v>8000</v>
      </c>
      <c r="P207" s="1" t="s">
        <v>17</v>
      </c>
    </row>
    <row r="208" spans="1:16" ht="16.5">
      <c r="A208" s="1">
        <v>207</v>
      </c>
      <c r="B208" s="1" t="s">
        <v>13</v>
      </c>
      <c r="C208" s="1">
        <v>43</v>
      </c>
      <c r="D208" s="2" t="str" cm="1">
        <f t="array" ref="D208">_xlfn.IFS(C208&lt;35, "young", C208&lt;50, "middle age", C208&gt;=50, "old")</f>
        <v>middle age</v>
      </c>
      <c r="E208" s="1" t="s">
        <v>33</v>
      </c>
      <c r="F208" s="1">
        <v>7.7</v>
      </c>
      <c r="G208" s="1">
        <v>8</v>
      </c>
      <c r="H208" s="1">
        <v>90</v>
      </c>
      <c r="I208" s="1">
        <v>5</v>
      </c>
      <c r="J208" s="1" t="s">
        <v>19</v>
      </c>
      <c r="K208" s="1" t="s">
        <v>44</v>
      </c>
      <c r="L208" s="1">
        <f t="shared" si="6"/>
        <v>130</v>
      </c>
      <c r="M208" s="3">
        <f t="shared" si="7"/>
        <v>85</v>
      </c>
      <c r="N208" s="1">
        <v>70</v>
      </c>
      <c r="O208" s="1">
        <v>8000</v>
      </c>
      <c r="P208" s="1" t="s">
        <v>17</v>
      </c>
    </row>
    <row r="209" spans="1:16" ht="16.5">
      <c r="A209" s="1">
        <v>208</v>
      </c>
      <c r="B209" s="1" t="s">
        <v>13</v>
      </c>
      <c r="C209" s="1">
        <v>43</v>
      </c>
      <c r="D209" s="2" t="str" cm="1">
        <f t="array" ref="D209">_xlfn.IFS(C209&lt;35, "young", C209&lt;50, "middle age", C209&gt;=50, "old")</f>
        <v>middle age</v>
      </c>
      <c r="E209" s="1" t="s">
        <v>33</v>
      </c>
      <c r="F209" s="1">
        <v>7.7</v>
      </c>
      <c r="G209" s="1">
        <v>8</v>
      </c>
      <c r="H209" s="1">
        <v>90</v>
      </c>
      <c r="I209" s="1">
        <v>5</v>
      </c>
      <c r="J209" s="1" t="s">
        <v>19</v>
      </c>
      <c r="K209" s="1" t="s">
        <v>44</v>
      </c>
      <c r="L209" s="1">
        <f t="shared" si="6"/>
        <v>130</v>
      </c>
      <c r="M209" s="3">
        <f t="shared" si="7"/>
        <v>85</v>
      </c>
      <c r="N209" s="1">
        <v>70</v>
      </c>
      <c r="O209" s="1">
        <v>8000</v>
      </c>
      <c r="P209" s="1" t="s">
        <v>17</v>
      </c>
    </row>
    <row r="210" spans="1:16" ht="16.5">
      <c r="A210" s="1">
        <v>209</v>
      </c>
      <c r="B210" s="1" t="s">
        <v>13</v>
      </c>
      <c r="C210" s="1">
        <v>43</v>
      </c>
      <c r="D210" s="2" t="str" cm="1">
        <f t="array" ref="D210">_xlfn.IFS(C210&lt;35, "young", C210&lt;50, "middle age", C210&gt;=50, "old")</f>
        <v>middle age</v>
      </c>
      <c r="E210" s="1" t="s">
        <v>33</v>
      </c>
      <c r="F210" s="1">
        <v>7.7</v>
      </c>
      <c r="G210" s="1">
        <v>8</v>
      </c>
      <c r="H210" s="1">
        <v>90</v>
      </c>
      <c r="I210" s="1">
        <v>5</v>
      </c>
      <c r="J210" s="1" t="s">
        <v>19</v>
      </c>
      <c r="K210" s="1" t="s">
        <v>44</v>
      </c>
      <c r="L210" s="1">
        <f t="shared" si="6"/>
        <v>130</v>
      </c>
      <c r="M210" s="3">
        <f t="shared" si="7"/>
        <v>85</v>
      </c>
      <c r="N210" s="1">
        <v>70</v>
      </c>
      <c r="O210" s="1">
        <v>8000</v>
      </c>
      <c r="P210" s="1" t="s">
        <v>17</v>
      </c>
    </row>
    <row r="211" spans="1:16" ht="16.5">
      <c r="A211" s="1">
        <v>210</v>
      </c>
      <c r="B211" s="1" t="s">
        <v>13</v>
      </c>
      <c r="C211" s="1">
        <v>43</v>
      </c>
      <c r="D211" s="2" t="str" cm="1">
        <f t="array" ref="D211">_xlfn.IFS(C211&lt;35, "young", C211&lt;50, "middle age", C211&gt;=50, "old")</f>
        <v>middle age</v>
      </c>
      <c r="E211" s="1" t="s">
        <v>33</v>
      </c>
      <c r="F211" s="1">
        <v>7.8</v>
      </c>
      <c r="G211" s="1">
        <v>8</v>
      </c>
      <c r="H211" s="1">
        <v>90</v>
      </c>
      <c r="I211" s="1">
        <v>5</v>
      </c>
      <c r="J211" s="1" t="s">
        <v>19</v>
      </c>
      <c r="K211" s="1" t="s">
        <v>44</v>
      </c>
      <c r="L211" s="1">
        <f t="shared" si="6"/>
        <v>130</v>
      </c>
      <c r="M211" s="3">
        <f t="shared" si="7"/>
        <v>85</v>
      </c>
      <c r="N211" s="1">
        <v>70</v>
      </c>
      <c r="O211" s="1">
        <v>8000</v>
      </c>
      <c r="P211" s="1" t="s">
        <v>17</v>
      </c>
    </row>
    <row r="212" spans="1:16" ht="16.5">
      <c r="A212" s="1">
        <v>211</v>
      </c>
      <c r="B212" s="1" t="s">
        <v>13</v>
      </c>
      <c r="C212" s="1">
        <v>43</v>
      </c>
      <c r="D212" s="2" t="str" cm="1">
        <f t="array" ref="D212">_xlfn.IFS(C212&lt;35, "young", C212&lt;50, "middle age", C212&gt;=50, "old")</f>
        <v>middle age</v>
      </c>
      <c r="E212" s="1" t="s">
        <v>33</v>
      </c>
      <c r="F212" s="1">
        <v>7.7</v>
      </c>
      <c r="G212" s="1">
        <v>8</v>
      </c>
      <c r="H212" s="1">
        <v>90</v>
      </c>
      <c r="I212" s="1">
        <v>5</v>
      </c>
      <c r="J212" s="1" t="s">
        <v>19</v>
      </c>
      <c r="K212" s="1" t="s">
        <v>44</v>
      </c>
      <c r="L212" s="1">
        <f t="shared" si="6"/>
        <v>130</v>
      </c>
      <c r="M212" s="3">
        <f t="shared" si="7"/>
        <v>85</v>
      </c>
      <c r="N212" s="1">
        <v>70</v>
      </c>
      <c r="O212" s="1">
        <v>8000</v>
      </c>
      <c r="P212" s="1" t="s">
        <v>17</v>
      </c>
    </row>
    <row r="213" spans="1:16" ht="16.5">
      <c r="A213" s="1">
        <v>212</v>
      </c>
      <c r="B213" s="1" t="s">
        <v>13</v>
      </c>
      <c r="C213" s="1">
        <v>43</v>
      </c>
      <c r="D213" s="2" t="str" cm="1">
        <f t="array" ref="D213">_xlfn.IFS(C213&lt;35, "young", C213&lt;50, "middle age", C213&gt;=50, "old")</f>
        <v>middle age</v>
      </c>
      <c r="E213" s="1" t="s">
        <v>33</v>
      </c>
      <c r="F213" s="1">
        <v>7.8</v>
      </c>
      <c r="G213" s="1">
        <v>8</v>
      </c>
      <c r="H213" s="1">
        <v>90</v>
      </c>
      <c r="I213" s="1">
        <v>5</v>
      </c>
      <c r="J213" s="1" t="s">
        <v>19</v>
      </c>
      <c r="K213" s="1" t="s">
        <v>44</v>
      </c>
      <c r="L213" s="1">
        <f t="shared" si="6"/>
        <v>130</v>
      </c>
      <c r="M213" s="3">
        <f t="shared" si="7"/>
        <v>85</v>
      </c>
      <c r="N213" s="1">
        <v>70</v>
      </c>
      <c r="O213" s="1">
        <v>8000</v>
      </c>
      <c r="P213" s="1" t="s">
        <v>17</v>
      </c>
    </row>
    <row r="214" spans="1:16" ht="16.5">
      <c r="A214" s="1">
        <v>213</v>
      </c>
      <c r="B214" s="1" t="s">
        <v>13</v>
      </c>
      <c r="C214" s="1">
        <v>43</v>
      </c>
      <c r="D214" s="2" t="str" cm="1">
        <f t="array" ref="D214">_xlfn.IFS(C214&lt;35, "young", C214&lt;50, "middle age", C214&gt;=50, "old")</f>
        <v>middle age</v>
      </c>
      <c r="E214" s="1" t="s">
        <v>33</v>
      </c>
      <c r="F214" s="1">
        <v>7.8</v>
      </c>
      <c r="G214" s="1">
        <v>8</v>
      </c>
      <c r="H214" s="1">
        <v>90</v>
      </c>
      <c r="I214" s="1">
        <v>5</v>
      </c>
      <c r="J214" s="1" t="s">
        <v>19</v>
      </c>
      <c r="K214" s="1" t="s">
        <v>44</v>
      </c>
      <c r="L214" s="1">
        <f t="shared" si="6"/>
        <v>130</v>
      </c>
      <c r="M214" s="3">
        <f t="shared" si="7"/>
        <v>85</v>
      </c>
      <c r="N214" s="1">
        <v>70</v>
      </c>
      <c r="O214" s="1">
        <v>8000</v>
      </c>
      <c r="P214" s="1" t="s">
        <v>17</v>
      </c>
    </row>
    <row r="215" spans="1:16" ht="16.5">
      <c r="A215" s="1">
        <v>214</v>
      </c>
      <c r="B215" s="1" t="s">
        <v>13</v>
      </c>
      <c r="C215" s="1">
        <v>43</v>
      </c>
      <c r="D215" s="2" t="str" cm="1">
        <f t="array" ref="D215">_xlfn.IFS(C215&lt;35, "young", C215&lt;50, "middle age", C215&gt;=50, "old")</f>
        <v>middle age</v>
      </c>
      <c r="E215" s="1" t="s">
        <v>33</v>
      </c>
      <c r="F215" s="1">
        <v>7.8</v>
      </c>
      <c r="G215" s="1">
        <v>8</v>
      </c>
      <c r="H215" s="1">
        <v>90</v>
      </c>
      <c r="I215" s="1">
        <v>5</v>
      </c>
      <c r="J215" s="1" t="s">
        <v>19</v>
      </c>
      <c r="K215" s="1" t="s">
        <v>44</v>
      </c>
      <c r="L215" s="1">
        <f t="shared" si="6"/>
        <v>130</v>
      </c>
      <c r="M215" s="3">
        <f t="shared" si="7"/>
        <v>85</v>
      </c>
      <c r="N215" s="1">
        <v>70</v>
      </c>
      <c r="O215" s="1">
        <v>8000</v>
      </c>
      <c r="P215" s="1" t="s">
        <v>17</v>
      </c>
    </row>
    <row r="216" spans="1:16" ht="16.5">
      <c r="A216" s="1">
        <v>215</v>
      </c>
      <c r="B216" s="1" t="s">
        <v>13</v>
      </c>
      <c r="C216" s="1">
        <v>43</v>
      </c>
      <c r="D216" s="2" t="str" cm="1">
        <f t="array" ref="D216">_xlfn.IFS(C216&lt;35, "young", C216&lt;50, "middle age", C216&gt;=50, "old")</f>
        <v>middle age</v>
      </c>
      <c r="E216" s="1" t="s">
        <v>33</v>
      </c>
      <c r="F216" s="1">
        <v>7.8</v>
      </c>
      <c r="G216" s="1">
        <v>8</v>
      </c>
      <c r="H216" s="1">
        <v>90</v>
      </c>
      <c r="I216" s="1">
        <v>5</v>
      </c>
      <c r="J216" s="1" t="s">
        <v>19</v>
      </c>
      <c r="K216" s="1" t="s">
        <v>44</v>
      </c>
      <c r="L216" s="1">
        <f t="shared" si="6"/>
        <v>130</v>
      </c>
      <c r="M216" s="3">
        <f t="shared" si="7"/>
        <v>85</v>
      </c>
      <c r="N216" s="1">
        <v>70</v>
      </c>
      <c r="O216" s="1">
        <v>8000</v>
      </c>
      <c r="P216" s="1" t="s">
        <v>17</v>
      </c>
    </row>
    <row r="217" spans="1:16" ht="16.5">
      <c r="A217" s="1">
        <v>216</v>
      </c>
      <c r="B217" s="1" t="s">
        <v>13</v>
      </c>
      <c r="C217" s="1">
        <v>43</v>
      </c>
      <c r="D217" s="2" t="str" cm="1">
        <f t="array" ref="D217">_xlfn.IFS(C217&lt;35, "young", C217&lt;50, "middle age", C217&gt;=50, "old")</f>
        <v>middle age</v>
      </c>
      <c r="E217" s="1" t="s">
        <v>33</v>
      </c>
      <c r="F217" s="1">
        <v>7.8</v>
      </c>
      <c r="G217" s="1">
        <v>8</v>
      </c>
      <c r="H217" s="1">
        <v>90</v>
      </c>
      <c r="I217" s="1">
        <v>5</v>
      </c>
      <c r="J217" s="1" t="s">
        <v>19</v>
      </c>
      <c r="K217" s="1" t="s">
        <v>44</v>
      </c>
      <c r="L217" s="1">
        <f t="shared" si="6"/>
        <v>130</v>
      </c>
      <c r="M217" s="3">
        <f t="shared" si="7"/>
        <v>85</v>
      </c>
      <c r="N217" s="1">
        <v>70</v>
      </c>
      <c r="O217" s="1">
        <v>8000</v>
      </c>
      <c r="P217" s="1" t="s">
        <v>17</v>
      </c>
    </row>
    <row r="218" spans="1:16" ht="16.5">
      <c r="A218" s="1">
        <v>217</v>
      </c>
      <c r="B218" s="1" t="s">
        <v>13</v>
      </c>
      <c r="C218" s="1">
        <v>43</v>
      </c>
      <c r="D218" s="2" t="str" cm="1">
        <f t="array" ref="D218">_xlfn.IFS(C218&lt;35, "young", C218&lt;50, "middle age", C218&gt;=50, "old")</f>
        <v>middle age</v>
      </c>
      <c r="E218" s="1" t="s">
        <v>33</v>
      </c>
      <c r="F218" s="1">
        <v>7.8</v>
      </c>
      <c r="G218" s="1">
        <v>8</v>
      </c>
      <c r="H218" s="1">
        <v>90</v>
      </c>
      <c r="I218" s="1">
        <v>5</v>
      </c>
      <c r="J218" s="1" t="s">
        <v>19</v>
      </c>
      <c r="K218" s="1" t="s">
        <v>44</v>
      </c>
      <c r="L218" s="1">
        <f t="shared" si="6"/>
        <v>130</v>
      </c>
      <c r="M218" s="3">
        <f t="shared" si="7"/>
        <v>85</v>
      </c>
      <c r="N218" s="1">
        <v>70</v>
      </c>
      <c r="O218" s="1">
        <v>8000</v>
      </c>
      <c r="P218" s="1" t="s">
        <v>17</v>
      </c>
    </row>
    <row r="219" spans="1:16" ht="16.5">
      <c r="A219" s="1">
        <v>218</v>
      </c>
      <c r="B219" s="1" t="s">
        <v>13</v>
      </c>
      <c r="C219" s="1">
        <v>43</v>
      </c>
      <c r="D219" s="2" t="str" cm="1">
        <f t="array" ref="D219">_xlfn.IFS(C219&lt;35, "young", C219&lt;50, "middle age", C219&gt;=50, "old")</f>
        <v>middle age</v>
      </c>
      <c r="E219" s="1" t="s">
        <v>33</v>
      </c>
      <c r="F219" s="1">
        <v>7.8</v>
      </c>
      <c r="G219" s="1">
        <v>8</v>
      </c>
      <c r="H219" s="1">
        <v>90</v>
      </c>
      <c r="I219" s="1">
        <v>5</v>
      </c>
      <c r="J219" s="1" t="s">
        <v>19</v>
      </c>
      <c r="K219" s="1" t="s">
        <v>44</v>
      </c>
      <c r="L219" s="1">
        <f t="shared" si="6"/>
        <v>130</v>
      </c>
      <c r="M219" s="3">
        <f t="shared" si="7"/>
        <v>85</v>
      </c>
      <c r="N219" s="1">
        <v>70</v>
      </c>
      <c r="O219" s="1">
        <v>8000</v>
      </c>
      <c r="P219" s="1" t="s">
        <v>17</v>
      </c>
    </row>
    <row r="220" spans="1:16" ht="16.5">
      <c r="A220" s="1">
        <v>219</v>
      </c>
      <c r="B220" s="1" t="s">
        <v>13</v>
      </c>
      <c r="C220" s="1">
        <v>43</v>
      </c>
      <c r="D220" s="2" t="str" cm="1">
        <f t="array" ref="D220">_xlfn.IFS(C220&lt;35, "young", C220&lt;50, "middle age", C220&gt;=50, "old")</f>
        <v>middle age</v>
      </c>
      <c r="E220" s="1" t="s">
        <v>33</v>
      </c>
      <c r="F220" s="1">
        <v>7.8</v>
      </c>
      <c r="G220" s="1">
        <v>8</v>
      </c>
      <c r="H220" s="1">
        <v>90</v>
      </c>
      <c r="I220" s="1">
        <v>5</v>
      </c>
      <c r="J220" s="1" t="s">
        <v>19</v>
      </c>
      <c r="K220" s="1" t="s">
        <v>44</v>
      </c>
      <c r="L220" s="1">
        <f t="shared" si="6"/>
        <v>130</v>
      </c>
      <c r="M220" s="3">
        <f t="shared" si="7"/>
        <v>85</v>
      </c>
      <c r="N220" s="1">
        <v>70</v>
      </c>
      <c r="O220" s="1">
        <v>8000</v>
      </c>
      <c r="P220" s="1" t="s">
        <v>24</v>
      </c>
    </row>
    <row r="221" spans="1:16" ht="16.5">
      <c r="A221" s="1">
        <v>220</v>
      </c>
      <c r="B221" s="1" t="s">
        <v>13</v>
      </c>
      <c r="C221" s="1">
        <v>43</v>
      </c>
      <c r="D221" s="2" t="str" cm="1">
        <f t="array" ref="D221">_xlfn.IFS(C221&lt;35, "young", C221&lt;50, "middle age", C221&gt;=50, "old")</f>
        <v>middle age</v>
      </c>
      <c r="E221" s="1" t="s">
        <v>49</v>
      </c>
      <c r="F221" s="1">
        <v>6.5</v>
      </c>
      <c r="G221" s="1">
        <v>6</v>
      </c>
      <c r="H221" s="1">
        <v>45</v>
      </c>
      <c r="I221" s="1">
        <v>7</v>
      </c>
      <c r="J221" s="1" t="s">
        <v>15</v>
      </c>
      <c r="K221" s="1" t="s">
        <v>44</v>
      </c>
      <c r="L221" s="1">
        <f t="shared" si="6"/>
        <v>130</v>
      </c>
      <c r="M221" s="3">
        <f t="shared" si="7"/>
        <v>85</v>
      </c>
      <c r="N221" s="1">
        <v>72</v>
      </c>
      <c r="O221" s="1">
        <v>6000</v>
      </c>
      <c r="P221" s="1" t="s">
        <v>24</v>
      </c>
    </row>
    <row r="222" spans="1:16" ht="16.5">
      <c r="A222" s="1">
        <v>221</v>
      </c>
      <c r="B222" s="1" t="s">
        <v>28</v>
      </c>
      <c r="C222" s="1">
        <v>44</v>
      </c>
      <c r="D222" s="2" t="str" cm="1">
        <f t="array" ref="D222">_xlfn.IFS(C222&lt;35, "young", C222&lt;50, "middle age", C222&gt;=50, "old")</f>
        <v>middle age</v>
      </c>
      <c r="E222" s="1" t="s">
        <v>26</v>
      </c>
      <c r="F222" s="1">
        <v>6.6</v>
      </c>
      <c r="G222" s="1">
        <v>7</v>
      </c>
      <c r="H222" s="1">
        <v>45</v>
      </c>
      <c r="I222" s="1">
        <v>4</v>
      </c>
      <c r="J222" s="1" t="s">
        <v>15</v>
      </c>
      <c r="K222" s="1" t="s">
        <v>50</v>
      </c>
      <c r="L222" s="1">
        <f t="shared" si="6"/>
        <v>135</v>
      </c>
      <c r="M222" s="3">
        <f t="shared" si="7"/>
        <v>90</v>
      </c>
      <c r="N222" s="1">
        <v>65</v>
      </c>
      <c r="O222" s="1">
        <v>6000</v>
      </c>
      <c r="P222" s="1" t="s">
        <v>25</v>
      </c>
    </row>
    <row r="223" spans="1:16" ht="16.5">
      <c r="A223" s="1">
        <v>222</v>
      </c>
      <c r="B223" s="1" t="s">
        <v>13</v>
      </c>
      <c r="C223" s="1">
        <v>44</v>
      </c>
      <c r="D223" s="2" t="str" cm="1">
        <f t="array" ref="D223">_xlfn.IFS(C223&lt;35, "young", C223&lt;50, "middle age", C223&gt;=50, "old")</f>
        <v>middle age</v>
      </c>
      <c r="E223" s="1" t="s">
        <v>49</v>
      </c>
      <c r="F223" s="1">
        <v>6.4</v>
      </c>
      <c r="G223" s="1">
        <v>6</v>
      </c>
      <c r="H223" s="1">
        <v>45</v>
      </c>
      <c r="I223" s="1">
        <v>7</v>
      </c>
      <c r="J223" s="1" t="s">
        <v>15</v>
      </c>
      <c r="K223" s="1" t="s">
        <v>44</v>
      </c>
      <c r="L223" s="1">
        <f t="shared" si="6"/>
        <v>130</v>
      </c>
      <c r="M223" s="3">
        <f t="shared" si="7"/>
        <v>85</v>
      </c>
      <c r="N223" s="1">
        <v>72</v>
      </c>
      <c r="O223" s="1">
        <v>6000</v>
      </c>
      <c r="P223" s="1" t="s">
        <v>25</v>
      </c>
    </row>
    <row r="224" spans="1:16" ht="16.5">
      <c r="A224" s="1">
        <v>223</v>
      </c>
      <c r="B224" s="1" t="s">
        <v>13</v>
      </c>
      <c r="C224" s="1">
        <v>44</v>
      </c>
      <c r="D224" s="2" t="str" cm="1">
        <f t="array" ref="D224">_xlfn.IFS(C224&lt;35, "young", C224&lt;50, "middle age", C224&gt;=50, "old")</f>
        <v>middle age</v>
      </c>
      <c r="E224" s="1" t="s">
        <v>49</v>
      </c>
      <c r="F224" s="1">
        <v>6.3</v>
      </c>
      <c r="G224" s="1">
        <v>6</v>
      </c>
      <c r="H224" s="1">
        <v>45</v>
      </c>
      <c r="I224" s="1">
        <v>7</v>
      </c>
      <c r="J224" s="1" t="s">
        <v>15</v>
      </c>
      <c r="K224" s="1" t="s">
        <v>44</v>
      </c>
      <c r="L224" s="1">
        <f t="shared" si="6"/>
        <v>130</v>
      </c>
      <c r="M224" s="3">
        <f t="shared" si="7"/>
        <v>85</v>
      </c>
      <c r="N224" s="1">
        <v>72</v>
      </c>
      <c r="O224" s="1">
        <v>6000</v>
      </c>
      <c r="P224" s="1" t="s">
        <v>25</v>
      </c>
    </row>
    <row r="225" spans="1:16" ht="16.5">
      <c r="A225" s="1">
        <v>224</v>
      </c>
      <c r="B225" s="1" t="s">
        <v>13</v>
      </c>
      <c r="C225" s="1">
        <v>44</v>
      </c>
      <c r="D225" s="2" t="str" cm="1">
        <f t="array" ref="D225">_xlfn.IFS(C225&lt;35, "young", C225&lt;50, "middle age", C225&gt;=50, "old")</f>
        <v>middle age</v>
      </c>
      <c r="E225" s="1" t="s">
        <v>49</v>
      </c>
      <c r="F225" s="1">
        <v>6.4</v>
      </c>
      <c r="G225" s="1">
        <v>6</v>
      </c>
      <c r="H225" s="1">
        <v>45</v>
      </c>
      <c r="I225" s="1">
        <v>7</v>
      </c>
      <c r="J225" s="1" t="s">
        <v>15</v>
      </c>
      <c r="K225" s="1" t="s">
        <v>44</v>
      </c>
      <c r="L225" s="1">
        <f t="shared" si="6"/>
        <v>130</v>
      </c>
      <c r="M225" s="3">
        <f t="shared" si="7"/>
        <v>85</v>
      </c>
      <c r="N225" s="1">
        <v>72</v>
      </c>
      <c r="O225" s="1">
        <v>6000</v>
      </c>
      <c r="P225" s="1" t="s">
        <v>25</v>
      </c>
    </row>
    <row r="226" spans="1:16" ht="16.5">
      <c r="A226" s="1">
        <v>225</v>
      </c>
      <c r="B226" s="1" t="s">
        <v>28</v>
      </c>
      <c r="C226" s="1">
        <v>44</v>
      </c>
      <c r="D226" s="2" t="str" cm="1">
        <f t="array" ref="D226">_xlfn.IFS(C226&lt;35, "young", C226&lt;50, "middle age", C226&gt;=50, "old")</f>
        <v>middle age</v>
      </c>
      <c r="E226" s="1" t="s">
        <v>26</v>
      </c>
      <c r="F226" s="1">
        <v>6.6</v>
      </c>
      <c r="G226" s="1">
        <v>7</v>
      </c>
      <c r="H226" s="1">
        <v>45</v>
      </c>
      <c r="I226" s="1">
        <v>4</v>
      </c>
      <c r="J226" s="1" t="s">
        <v>15</v>
      </c>
      <c r="K226" s="1" t="s">
        <v>50</v>
      </c>
      <c r="L226" s="1">
        <f t="shared" si="6"/>
        <v>135</v>
      </c>
      <c r="M226" s="3">
        <f t="shared" si="7"/>
        <v>90</v>
      </c>
      <c r="N226" s="1">
        <v>65</v>
      </c>
      <c r="O226" s="1">
        <v>6000</v>
      </c>
      <c r="P226" s="1" t="s">
        <v>25</v>
      </c>
    </row>
    <row r="227" spans="1:16" ht="16.5">
      <c r="A227" s="1">
        <v>226</v>
      </c>
      <c r="B227" s="1" t="s">
        <v>13</v>
      </c>
      <c r="C227" s="1">
        <v>44</v>
      </c>
      <c r="D227" s="2" t="str" cm="1">
        <f t="array" ref="D227">_xlfn.IFS(C227&lt;35, "young", C227&lt;50, "middle age", C227&gt;=50, "old")</f>
        <v>middle age</v>
      </c>
      <c r="E227" s="1" t="s">
        <v>49</v>
      </c>
      <c r="F227" s="1">
        <v>6.3</v>
      </c>
      <c r="G227" s="1">
        <v>6</v>
      </c>
      <c r="H227" s="1">
        <v>45</v>
      </c>
      <c r="I227" s="1">
        <v>7</v>
      </c>
      <c r="J227" s="1" t="s">
        <v>15</v>
      </c>
      <c r="K227" s="1" t="s">
        <v>44</v>
      </c>
      <c r="L227" s="1">
        <f t="shared" si="6"/>
        <v>130</v>
      </c>
      <c r="M227" s="3">
        <f t="shared" si="7"/>
        <v>85</v>
      </c>
      <c r="N227" s="1">
        <v>72</v>
      </c>
      <c r="O227" s="1">
        <v>6000</v>
      </c>
      <c r="P227" s="1" t="s">
        <v>25</v>
      </c>
    </row>
    <row r="228" spans="1:16" ht="16.5">
      <c r="A228" s="1">
        <v>227</v>
      </c>
      <c r="B228" s="1" t="s">
        <v>28</v>
      </c>
      <c r="C228" s="1">
        <v>44</v>
      </c>
      <c r="D228" s="2" t="str" cm="1">
        <f t="array" ref="D228">_xlfn.IFS(C228&lt;35, "young", C228&lt;50, "middle age", C228&gt;=50, "old")</f>
        <v>middle age</v>
      </c>
      <c r="E228" s="1" t="s">
        <v>26</v>
      </c>
      <c r="F228" s="1">
        <v>6.6</v>
      </c>
      <c r="G228" s="1">
        <v>7</v>
      </c>
      <c r="H228" s="1">
        <v>45</v>
      </c>
      <c r="I228" s="1">
        <v>4</v>
      </c>
      <c r="J228" s="1" t="s">
        <v>15</v>
      </c>
      <c r="K228" s="1" t="s">
        <v>50</v>
      </c>
      <c r="L228" s="1">
        <f t="shared" si="6"/>
        <v>135</v>
      </c>
      <c r="M228" s="3">
        <f t="shared" si="7"/>
        <v>90</v>
      </c>
      <c r="N228" s="1">
        <v>65</v>
      </c>
      <c r="O228" s="1">
        <v>6000</v>
      </c>
      <c r="P228" s="1" t="s">
        <v>25</v>
      </c>
    </row>
    <row r="229" spans="1:16" ht="16.5">
      <c r="A229" s="1">
        <v>228</v>
      </c>
      <c r="B229" s="1" t="s">
        <v>13</v>
      </c>
      <c r="C229" s="1">
        <v>44</v>
      </c>
      <c r="D229" s="2" t="str" cm="1">
        <f t="array" ref="D229">_xlfn.IFS(C229&lt;35, "young", C229&lt;50, "middle age", C229&gt;=50, "old")</f>
        <v>middle age</v>
      </c>
      <c r="E229" s="1" t="s">
        <v>49</v>
      </c>
      <c r="F229" s="1">
        <v>6.3</v>
      </c>
      <c r="G229" s="1">
        <v>6</v>
      </c>
      <c r="H229" s="1">
        <v>45</v>
      </c>
      <c r="I229" s="1">
        <v>7</v>
      </c>
      <c r="J229" s="1" t="s">
        <v>15</v>
      </c>
      <c r="K229" s="1" t="s">
        <v>44</v>
      </c>
      <c r="L229" s="1">
        <f t="shared" si="6"/>
        <v>130</v>
      </c>
      <c r="M229" s="3">
        <f t="shared" si="7"/>
        <v>85</v>
      </c>
      <c r="N229" s="1">
        <v>72</v>
      </c>
      <c r="O229" s="1">
        <v>6000</v>
      </c>
      <c r="P229" s="1" t="s">
        <v>25</v>
      </c>
    </row>
    <row r="230" spans="1:16" ht="16.5">
      <c r="A230" s="1">
        <v>229</v>
      </c>
      <c r="B230" s="1" t="s">
        <v>28</v>
      </c>
      <c r="C230" s="1">
        <v>44</v>
      </c>
      <c r="D230" s="2" t="str" cm="1">
        <f t="array" ref="D230">_xlfn.IFS(C230&lt;35, "young", C230&lt;50, "middle age", C230&gt;=50, "old")</f>
        <v>middle age</v>
      </c>
      <c r="E230" s="1" t="s">
        <v>26</v>
      </c>
      <c r="F230" s="1">
        <v>6.6</v>
      </c>
      <c r="G230" s="1">
        <v>7</v>
      </c>
      <c r="H230" s="1">
        <v>45</v>
      </c>
      <c r="I230" s="1">
        <v>4</v>
      </c>
      <c r="J230" s="1" t="s">
        <v>15</v>
      </c>
      <c r="K230" s="1" t="s">
        <v>50</v>
      </c>
      <c r="L230" s="1">
        <f t="shared" si="6"/>
        <v>135</v>
      </c>
      <c r="M230" s="3">
        <f t="shared" si="7"/>
        <v>90</v>
      </c>
      <c r="N230" s="1">
        <v>65</v>
      </c>
      <c r="O230" s="1">
        <v>6000</v>
      </c>
      <c r="P230" s="1" t="s">
        <v>25</v>
      </c>
    </row>
    <row r="231" spans="1:16" ht="16.5">
      <c r="A231" s="1">
        <v>230</v>
      </c>
      <c r="B231" s="1" t="s">
        <v>13</v>
      </c>
      <c r="C231" s="1">
        <v>44</v>
      </c>
      <c r="D231" s="2" t="str" cm="1">
        <f t="array" ref="D231">_xlfn.IFS(C231&lt;35, "young", C231&lt;50, "middle age", C231&gt;=50, "old")</f>
        <v>middle age</v>
      </c>
      <c r="E231" s="1" t="s">
        <v>49</v>
      </c>
      <c r="F231" s="1">
        <v>6.3</v>
      </c>
      <c r="G231" s="1">
        <v>6</v>
      </c>
      <c r="H231" s="1">
        <v>45</v>
      </c>
      <c r="I231" s="1">
        <v>7</v>
      </c>
      <c r="J231" s="1" t="s">
        <v>15</v>
      </c>
      <c r="K231" s="1" t="s">
        <v>44</v>
      </c>
      <c r="L231" s="1">
        <f t="shared" si="6"/>
        <v>130</v>
      </c>
      <c r="M231" s="3">
        <f t="shared" si="7"/>
        <v>85</v>
      </c>
      <c r="N231" s="1">
        <v>72</v>
      </c>
      <c r="O231" s="1">
        <v>6000</v>
      </c>
      <c r="P231" s="1" t="s">
        <v>25</v>
      </c>
    </row>
    <row r="232" spans="1:16" ht="16.5">
      <c r="A232" s="1">
        <v>231</v>
      </c>
      <c r="B232" s="1" t="s">
        <v>28</v>
      </c>
      <c r="C232" s="1">
        <v>44</v>
      </c>
      <c r="D232" s="2" t="str" cm="1">
        <f t="array" ref="D232">_xlfn.IFS(C232&lt;35, "young", C232&lt;50, "middle age", C232&gt;=50, "old")</f>
        <v>middle age</v>
      </c>
      <c r="E232" s="1" t="s">
        <v>26</v>
      </c>
      <c r="F232" s="1">
        <v>6.6</v>
      </c>
      <c r="G232" s="1">
        <v>7</v>
      </c>
      <c r="H232" s="1">
        <v>45</v>
      </c>
      <c r="I232" s="1">
        <v>4</v>
      </c>
      <c r="J232" s="1" t="s">
        <v>15</v>
      </c>
      <c r="K232" s="1" t="s">
        <v>50</v>
      </c>
      <c r="L232" s="1">
        <f t="shared" si="6"/>
        <v>135</v>
      </c>
      <c r="M232" s="3">
        <f t="shared" si="7"/>
        <v>90</v>
      </c>
      <c r="N232" s="1">
        <v>65</v>
      </c>
      <c r="O232" s="1">
        <v>6000</v>
      </c>
      <c r="P232" s="1" t="s">
        <v>25</v>
      </c>
    </row>
    <row r="233" spans="1:16" ht="16.5">
      <c r="A233" s="1">
        <v>232</v>
      </c>
      <c r="B233" s="1" t="s">
        <v>13</v>
      </c>
      <c r="C233" s="1">
        <v>44</v>
      </c>
      <c r="D233" s="2" t="str" cm="1">
        <f t="array" ref="D233">_xlfn.IFS(C233&lt;35, "young", C233&lt;50, "middle age", C233&gt;=50, "old")</f>
        <v>middle age</v>
      </c>
      <c r="E233" s="1" t="s">
        <v>49</v>
      </c>
      <c r="F233" s="1">
        <v>6.3</v>
      </c>
      <c r="G233" s="1">
        <v>6</v>
      </c>
      <c r="H233" s="1">
        <v>45</v>
      </c>
      <c r="I233" s="1">
        <v>7</v>
      </c>
      <c r="J233" s="1" t="s">
        <v>15</v>
      </c>
      <c r="K233" s="1" t="s">
        <v>44</v>
      </c>
      <c r="L233" s="1">
        <f t="shared" si="6"/>
        <v>130</v>
      </c>
      <c r="M233" s="3">
        <f t="shared" si="7"/>
        <v>85</v>
      </c>
      <c r="N233" s="1">
        <v>72</v>
      </c>
      <c r="O233" s="1">
        <v>6000</v>
      </c>
      <c r="P233" s="1" t="s">
        <v>25</v>
      </c>
    </row>
    <row r="234" spans="1:16" ht="16.5">
      <c r="A234" s="1">
        <v>233</v>
      </c>
      <c r="B234" s="1" t="s">
        <v>28</v>
      </c>
      <c r="C234" s="1">
        <v>44</v>
      </c>
      <c r="D234" s="2" t="str" cm="1">
        <f t="array" ref="D234">_xlfn.IFS(C234&lt;35, "young", C234&lt;50, "middle age", C234&gt;=50, "old")</f>
        <v>middle age</v>
      </c>
      <c r="E234" s="1" t="s">
        <v>26</v>
      </c>
      <c r="F234" s="1">
        <v>6.6</v>
      </c>
      <c r="G234" s="1">
        <v>7</v>
      </c>
      <c r="H234" s="1">
        <v>45</v>
      </c>
      <c r="I234" s="1">
        <v>4</v>
      </c>
      <c r="J234" s="1" t="s">
        <v>15</v>
      </c>
      <c r="K234" s="1" t="s">
        <v>50</v>
      </c>
      <c r="L234" s="1">
        <f t="shared" si="6"/>
        <v>135</v>
      </c>
      <c r="M234" s="3">
        <f t="shared" si="7"/>
        <v>90</v>
      </c>
      <c r="N234" s="1">
        <v>65</v>
      </c>
      <c r="O234" s="1">
        <v>6000</v>
      </c>
      <c r="P234" s="1" t="s">
        <v>25</v>
      </c>
    </row>
    <row r="235" spans="1:16" ht="16.5">
      <c r="A235" s="1">
        <v>234</v>
      </c>
      <c r="B235" s="1" t="s">
        <v>13</v>
      </c>
      <c r="C235" s="1">
        <v>44</v>
      </c>
      <c r="D235" s="2" t="str" cm="1">
        <f t="array" ref="D235">_xlfn.IFS(C235&lt;35, "young", C235&lt;50, "middle age", C235&gt;=50, "old")</f>
        <v>middle age</v>
      </c>
      <c r="E235" s="1" t="s">
        <v>49</v>
      </c>
      <c r="F235" s="1">
        <v>6.3</v>
      </c>
      <c r="G235" s="1">
        <v>6</v>
      </c>
      <c r="H235" s="1">
        <v>45</v>
      </c>
      <c r="I235" s="1">
        <v>7</v>
      </c>
      <c r="J235" s="1" t="s">
        <v>15</v>
      </c>
      <c r="K235" s="1" t="s">
        <v>44</v>
      </c>
      <c r="L235" s="1">
        <f t="shared" si="6"/>
        <v>130</v>
      </c>
      <c r="M235" s="3">
        <f t="shared" si="7"/>
        <v>85</v>
      </c>
      <c r="N235" s="1">
        <v>72</v>
      </c>
      <c r="O235" s="1">
        <v>6000</v>
      </c>
      <c r="P235" s="1" t="s">
        <v>25</v>
      </c>
    </row>
    <row r="236" spans="1:16" ht="16.5">
      <c r="A236" s="1">
        <v>235</v>
      </c>
      <c r="B236" s="1" t="s">
        <v>28</v>
      </c>
      <c r="C236" s="1">
        <v>44</v>
      </c>
      <c r="D236" s="2" t="str" cm="1">
        <f t="array" ref="D236">_xlfn.IFS(C236&lt;35, "young", C236&lt;50, "middle age", C236&gt;=50, "old")</f>
        <v>middle age</v>
      </c>
      <c r="E236" s="1" t="s">
        <v>26</v>
      </c>
      <c r="F236" s="1">
        <v>6.6</v>
      </c>
      <c r="G236" s="1">
        <v>7</v>
      </c>
      <c r="H236" s="1">
        <v>45</v>
      </c>
      <c r="I236" s="1">
        <v>4</v>
      </c>
      <c r="J236" s="1" t="s">
        <v>15</v>
      </c>
      <c r="K236" s="1" t="s">
        <v>50</v>
      </c>
      <c r="L236" s="1">
        <f t="shared" si="6"/>
        <v>135</v>
      </c>
      <c r="M236" s="3">
        <f t="shared" si="7"/>
        <v>90</v>
      </c>
      <c r="N236" s="1">
        <v>65</v>
      </c>
      <c r="O236" s="1">
        <v>6000</v>
      </c>
      <c r="P236" s="1" t="s">
        <v>25</v>
      </c>
    </row>
    <row r="237" spans="1:16" ht="16.5">
      <c r="A237" s="1">
        <v>236</v>
      </c>
      <c r="B237" s="1" t="s">
        <v>13</v>
      </c>
      <c r="C237" s="1">
        <v>44</v>
      </c>
      <c r="D237" s="2" t="str" cm="1">
        <f t="array" ref="D237">_xlfn.IFS(C237&lt;35, "young", C237&lt;50, "middle age", C237&gt;=50, "old")</f>
        <v>middle age</v>
      </c>
      <c r="E237" s="1" t="s">
        <v>49</v>
      </c>
      <c r="F237" s="1">
        <v>6.3</v>
      </c>
      <c r="G237" s="1">
        <v>6</v>
      </c>
      <c r="H237" s="1">
        <v>45</v>
      </c>
      <c r="I237" s="1">
        <v>7</v>
      </c>
      <c r="J237" s="1" t="s">
        <v>15</v>
      </c>
      <c r="K237" s="1" t="s">
        <v>44</v>
      </c>
      <c r="L237" s="1">
        <f t="shared" si="6"/>
        <v>130</v>
      </c>
      <c r="M237" s="3">
        <f t="shared" si="7"/>
        <v>85</v>
      </c>
      <c r="N237" s="1">
        <v>72</v>
      </c>
      <c r="O237" s="1">
        <v>6000</v>
      </c>
      <c r="P237" s="1" t="s">
        <v>25</v>
      </c>
    </row>
    <row r="238" spans="1:16" ht="16.5">
      <c r="A238" s="1">
        <v>237</v>
      </c>
      <c r="B238" s="1" t="s">
        <v>13</v>
      </c>
      <c r="C238" s="1">
        <v>44</v>
      </c>
      <c r="D238" s="2" t="str" cm="1">
        <f t="array" ref="D238">_xlfn.IFS(C238&lt;35, "young", C238&lt;50, "middle age", C238&gt;=50, "old")</f>
        <v>middle age</v>
      </c>
      <c r="E238" s="1" t="s">
        <v>49</v>
      </c>
      <c r="F238" s="1">
        <v>6.4</v>
      </c>
      <c r="G238" s="1">
        <v>6</v>
      </c>
      <c r="H238" s="1">
        <v>45</v>
      </c>
      <c r="I238" s="1">
        <v>7</v>
      </c>
      <c r="J238" s="1" t="s">
        <v>15</v>
      </c>
      <c r="K238" s="1" t="s">
        <v>44</v>
      </c>
      <c r="L238" s="1">
        <f t="shared" si="6"/>
        <v>130</v>
      </c>
      <c r="M238" s="3">
        <f t="shared" si="7"/>
        <v>85</v>
      </c>
      <c r="N238" s="1">
        <v>72</v>
      </c>
      <c r="O238" s="1">
        <v>6000</v>
      </c>
      <c r="P238" s="1" t="s">
        <v>25</v>
      </c>
    </row>
    <row r="239" spans="1:16" ht="16.5">
      <c r="A239" s="1">
        <v>238</v>
      </c>
      <c r="B239" s="1" t="s">
        <v>28</v>
      </c>
      <c r="C239" s="1">
        <v>44</v>
      </c>
      <c r="D239" s="2" t="str" cm="1">
        <f t="array" ref="D239">_xlfn.IFS(C239&lt;35, "young", C239&lt;50, "middle age", C239&gt;=50, "old")</f>
        <v>middle age</v>
      </c>
      <c r="E239" s="1" t="s">
        <v>26</v>
      </c>
      <c r="F239" s="1">
        <v>6.5</v>
      </c>
      <c r="G239" s="1">
        <v>7</v>
      </c>
      <c r="H239" s="1">
        <v>45</v>
      </c>
      <c r="I239" s="1">
        <v>4</v>
      </c>
      <c r="J239" s="1" t="s">
        <v>15</v>
      </c>
      <c r="K239" s="1" t="s">
        <v>50</v>
      </c>
      <c r="L239" s="1">
        <f t="shared" si="6"/>
        <v>135</v>
      </c>
      <c r="M239" s="3">
        <f t="shared" si="7"/>
        <v>90</v>
      </c>
      <c r="N239" s="1">
        <v>65</v>
      </c>
      <c r="O239" s="1">
        <v>6000</v>
      </c>
      <c r="P239" s="1" t="s">
        <v>25</v>
      </c>
    </row>
    <row r="240" spans="1:16" ht="16.5">
      <c r="A240" s="1">
        <v>239</v>
      </c>
      <c r="B240" s="1" t="s">
        <v>13</v>
      </c>
      <c r="C240" s="1">
        <v>44</v>
      </c>
      <c r="D240" s="2" t="str" cm="1">
        <f t="array" ref="D240">_xlfn.IFS(C240&lt;35, "young", C240&lt;50, "middle age", C240&gt;=50, "old")</f>
        <v>middle age</v>
      </c>
      <c r="E240" s="1" t="s">
        <v>49</v>
      </c>
      <c r="F240" s="1">
        <v>6.3</v>
      </c>
      <c r="G240" s="1">
        <v>6</v>
      </c>
      <c r="H240" s="1">
        <v>45</v>
      </c>
      <c r="I240" s="1">
        <v>7</v>
      </c>
      <c r="J240" s="1" t="s">
        <v>15</v>
      </c>
      <c r="K240" s="1" t="s">
        <v>44</v>
      </c>
      <c r="L240" s="1">
        <f t="shared" si="6"/>
        <v>130</v>
      </c>
      <c r="M240" s="3">
        <f t="shared" si="7"/>
        <v>85</v>
      </c>
      <c r="N240" s="1">
        <v>72</v>
      </c>
      <c r="O240" s="1">
        <v>6000</v>
      </c>
      <c r="P240" s="1" t="s">
        <v>25</v>
      </c>
    </row>
    <row r="241" spans="1:16" ht="16.5">
      <c r="A241" s="1">
        <v>240</v>
      </c>
      <c r="B241" s="1" t="s">
        <v>13</v>
      </c>
      <c r="C241" s="1">
        <v>44</v>
      </c>
      <c r="D241" s="2" t="str" cm="1">
        <f t="array" ref="D241">_xlfn.IFS(C241&lt;35, "young", C241&lt;50, "middle age", C241&gt;=50, "old")</f>
        <v>middle age</v>
      </c>
      <c r="E241" s="1" t="s">
        <v>49</v>
      </c>
      <c r="F241" s="1">
        <v>6.4</v>
      </c>
      <c r="G241" s="1">
        <v>6</v>
      </c>
      <c r="H241" s="1">
        <v>45</v>
      </c>
      <c r="I241" s="1">
        <v>7</v>
      </c>
      <c r="J241" s="1" t="s">
        <v>15</v>
      </c>
      <c r="K241" s="1" t="s">
        <v>44</v>
      </c>
      <c r="L241" s="1">
        <f t="shared" si="6"/>
        <v>130</v>
      </c>
      <c r="M241" s="3">
        <f t="shared" si="7"/>
        <v>85</v>
      </c>
      <c r="N241" s="1">
        <v>72</v>
      </c>
      <c r="O241" s="1">
        <v>6000</v>
      </c>
      <c r="P241" s="1" t="s">
        <v>25</v>
      </c>
    </row>
    <row r="242" spans="1:16" ht="16.5">
      <c r="A242" s="1">
        <v>241</v>
      </c>
      <c r="B242" s="1" t="s">
        <v>28</v>
      </c>
      <c r="C242" s="1">
        <v>44</v>
      </c>
      <c r="D242" s="2" t="str" cm="1">
        <f t="array" ref="D242">_xlfn.IFS(C242&lt;35, "young", C242&lt;50, "middle age", C242&gt;=50, "old")</f>
        <v>middle age</v>
      </c>
      <c r="E242" s="1" t="s">
        <v>26</v>
      </c>
      <c r="F242" s="1">
        <v>6.5</v>
      </c>
      <c r="G242" s="1">
        <v>7</v>
      </c>
      <c r="H242" s="1">
        <v>45</v>
      </c>
      <c r="I242" s="1">
        <v>4</v>
      </c>
      <c r="J242" s="1" t="s">
        <v>15</v>
      </c>
      <c r="K242" s="1" t="s">
        <v>50</v>
      </c>
      <c r="L242" s="1">
        <f t="shared" si="6"/>
        <v>135</v>
      </c>
      <c r="M242" s="3">
        <f t="shared" si="7"/>
        <v>90</v>
      </c>
      <c r="N242" s="1">
        <v>65</v>
      </c>
      <c r="O242" s="1">
        <v>6000</v>
      </c>
      <c r="P242" s="1" t="s">
        <v>25</v>
      </c>
    </row>
    <row r="243" spans="1:16" ht="16.5">
      <c r="A243" s="1">
        <v>242</v>
      </c>
      <c r="B243" s="1" t="s">
        <v>13</v>
      </c>
      <c r="C243" s="1">
        <v>44</v>
      </c>
      <c r="D243" s="2" t="str" cm="1">
        <f t="array" ref="D243">_xlfn.IFS(C243&lt;35, "young", C243&lt;50, "middle age", C243&gt;=50, "old")</f>
        <v>middle age</v>
      </c>
      <c r="E243" s="1" t="s">
        <v>49</v>
      </c>
      <c r="F243" s="1">
        <v>6.3</v>
      </c>
      <c r="G243" s="1">
        <v>6</v>
      </c>
      <c r="H243" s="1">
        <v>45</v>
      </c>
      <c r="I243" s="1">
        <v>7</v>
      </c>
      <c r="J243" s="1" t="s">
        <v>15</v>
      </c>
      <c r="K243" s="1" t="s">
        <v>44</v>
      </c>
      <c r="L243" s="1">
        <f t="shared" si="6"/>
        <v>130</v>
      </c>
      <c r="M243" s="3">
        <f t="shared" si="7"/>
        <v>85</v>
      </c>
      <c r="N243" s="1">
        <v>72</v>
      </c>
      <c r="O243" s="1">
        <v>6000</v>
      </c>
      <c r="P243" s="1" t="s">
        <v>25</v>
      </c>
    </row>
    <row r="244" spans="1:16" ht="16.5">
      <c r="A244" s="1">
        <v>243</v>
      </c>
      <c r="B244" s="1" t="s">
        <v>13</v>
      </c>
      <c r="C244" s="1">
        <v>44</v>
      </c>
      <c r="D244" s="2" t="str" cm="1">
        <f t="array" ref="D244">_xlfn.IFS(C244&lt;35, "young", C244&lt;50, "middle age", C244&gt;=50, "old")</f>
        <v>middle age</v>
      </c>
      <c r="E244" s="1" t="s">
        <v>49</v>
      </c>
      <c r="F244" s="1">
        <v>6.4</v>
      </c>
      <c r="G244" s="1">
        <v>6</v>
      </c>
      <c r="H244" s="1">
        <v>45</v>
      </c>
      <c r="I244" s="1">
        <v>7</v>
      </c>
      <c r="J244" s="1" t="s">
        <v>15</v>
      </c>
      <c r="K244" s="1" t="s">
        <v>44</v>
      </c>
      <c r="L244" s="1">
        <f t="shared" si="6"/>
        <v>130</v>
      </c>
      <c r="M244" s="3">
        <f t="shared" si="7"/>
        <v>85</v>
      </c>
      <c r="N244" s="1">
        <v>72</v>
      </c>
      <c r="O244" s="1">
        <v>6000</v>
      </c>
      <c r="P244" s="1" t="s">
        <v>25</v>
      </c>
    </row>
    <row r="245" spans="1:16" ht="16.5">
      <c r="A245" s="1">
        <v>244</v>
      </c>
      <c r="B245" s="1" t="s">
        <v>28</v>
      </c>
      <c r="C245" s="1">
        <v>44</v>
      </c>
      <c r="D245" s="2" t="str" cm="1">
        <f t="array" ref="D245">_xlfn.IFS(C245&lt;35, "young", C245&lt;50, "middle age", C245&gt;=50, "old")</f>
        <v>middle age</v>
      </c>
      <c r="E245" s="1" t="s">
        <v>26</v>
      </c>
      <c r="F245" s="1">
        <v>6.5</v>
      </c>
      <c r="G245" s="1">
        <v>7</v>
      </c>
      <c r="H245" s="1">
        <v>45</v>
      </c>
      <c r="I245" s="1">
        <v>4</v>
      </c>
      <c r="J245" s="1" t="s">
        <v>15</v>
      </c>
      <c r="K245" s="1" t="s">
        <v>50</v>
      </c>
      <c r="L245" s="1">
        <f t="shared" si="6"/>
        <v>135</v>
      </c>
      <c r="M245" s="3">
        <f t="shared" si="7"/>
        <v>90</v>
      </c>
      <c r="N245" s="1">
        <v>65</v>
      </c>
      <c r="O245" s="1">
        <v>6000</v>
      </c>
      <c r="P245" s="1" t="s">
        <v>25</v>
      </c>
    </row>
    <row r="246" spans="1:16" ht="16.5">
      <c r="A246" s="1">
        <v>245</v>
      </c>
      <c r="B246" s="1" t="s">
        <v>13</v>
      </c>
      <c r="C246" s="1">
        <v>44</v>
      </c>
      <c r="D246" s="2" t="str" cm="1">
        <f t="array" ref="D246">_xlfn.IFS(C246&lt;35, "young", C246&lt;50, "middle age", C246&gt;=50, "old")</f>
        <v>middle age</v>
      </c>
      <c r="E246" s="1" t="s">
        <v>49</v>
      </c>
      <c r="F246" s="1">
        <v>6.3</v>
      </c>
      <c r="G246" s="1">
        <v>6</v>
      </c>
      <c r="H246" s="1">
        <v>45</v>
      </c>
      <c r="I246" s="1">
        <v>7</v>
      </c>
      <c r="J246" s="1" t="s">
        <v>15</v>
      </c>
      <c r="K246" s="1" t="s">
        <v>44</v>
      </c>
      <c r="L246" s="1">
        <f t="shared" si="6"/>
        <v>130</v>
      </c>
      <c r="M246" s="3">
        <f t="shared" si="7"/>
        <v>85</v>
      </c>
      <c r="N246" s="1">
        <v>72</v>
      </c>
      <c r="O246" s="1">
        <v>6000</v>
      </c>
      <c r="P246" s="1" t="s">
        <v>25</v>
      </c>
    </row>
    <row r="247" spans="1:16" ht="16.5">
      <c r="A247" s="1">
        <v>246</v>
      </c>
      <c r="B247" s="1" t="s">
        <v>28</v>
      </c>
      <c r="C247" s="1">
        <v>44</v>
      </c>
      <c r="D247" s="2" t="str" cm="1">
        <f t="array" ref="D247">_xlfn.IFS(C247&lt;35, "young", C247&lt;50, "middle age", C247&gt;=50, "old")</f>
        <v>middle age</v>
      </c>
      <c r="E247" s="1" t="s">
        <v>26</v>
      </c>
      <c r="F247" s="1">
        <v>6.5</v>
      </c>
      <c r="G247" s="1">
        <v>7</v>
      </c>
      <c r="H247" s="1">
        <v>45</v>
      </c>
      <c r="I247" s="1">
        <v>4</v>
      </c>
      <c r="J247" s="1" t="s">
        <v>15</v>
      </c>
      <c r="K247" s="1" t="s">
        <v>50</v>
      </c>
      <c r="L247" s="1">
        <f t="shared" si="6"/>
        <v>135</v>
      </c>
      <c r="M247" s="3">
        <f t="shared" si="7"/>
        <v>90</v>
      </c>
      <c r="N247" s="1">
        <v>65</v>
      </c>
      <c r="O247" s="1">
        <v>6000</v>
      </c>
      <c r="P247" s="1" t="s">
        <v>25</v>
      </c>
    </row>
    <row r="248" spans="1:16" ht="16.5">
      <c r="A248" s="1">
        <v>247</v>
      </c>
      <c r="B248" s="1" t="s">
        <v>13</v>
      </c>
      <c r="C248" s="1">
        <v>44</v>
      </c>
      <c r="D248" s="2" t="str" cm="1">
        <f t="array" ref="D248">_xlfn.IFS(C248&lt;35, "young", C248&lt;50, "middle age", C248&gt;=50, "old")</f>
        <v>middle age</v>
      </c>
      <c r="E248" s="1" t="s">
        <v>49</v>
      </c>
      <c r="F248" s="1">
        <v>6.3</v>
      </c>
      <c r="G248" s="1">
        <v>6</v>
      </c>
      <c r="H248" s="1">
        <v>45</v>
      </c>
      <c r="I248" s="1">
        <v>7</v>
      </c>
      <c r="J248" s="1" t="s">
        <v>15</v>
      </c>
      <c r="K248" s="1" t="s">
        <v>44</v>
      </c>
      <c r="L248" s="1">
        <f t="shared" si="6"/>
        <v>130</v>
      </c>
      <c r="M248" s="3">
        <f t="shared" si="7"/>
        <v>85</v>
      </c>
      <c r="N248" s="1">
        <v>72</v>
      </c>
      <c r="O248" s="1">
        <v>6000</v>
      </c>
      <c r="P248" s="1" t="s">
        <v>25</v>
      </c>
    </row>
    <row r="249" spans="1:16" ht="16.5">
      <c r="A249" s="1">
        <v>248</v>
      </c>
      <c r="B249" s="1" t="s">
        <v>13</v>
      </c>
      <c r="C249" s="1">
        <v>44</v>
      </c>
      <c r="D249" s="2" t="str" cm="1">
        <f t="array" ref="D249">_xlfn.IFS(C249&lt;35, "young", C249&lt;50, "middle age", C249&gt;=50, "old")</f>
        <v>middle age</v>
      </c>
      <c r="E249" s="1" t="s">
        <v>33</v>
      </c>
      <c r="F249" s="1">
        <v>6.8</v>
      </c>
      <c r="G249" s="1">
        <v>7</v>
      </c>
      <c r="H249" s="1">
        <v>45</v>
      </c>
      <c r="I249" s="1">
        <v>7</v>
      </c>
      <c r="J249" s="1" t="s">
        <v>15</v>
      </c>
      <c r="K249" s="1" t="s">
        <v>44</v>
      </c>
      <c r="L249" s="1">
        <f t="shared" si="6"/>
        <v>130</v>
      </c>
      <c r="M249" s="3">
        <f t="shared" si="7"/>
        <v>85</v>
      </c>
      <c r="N249" s="1">
        <v>78</v>
      </c>
      <c r="O249" s="1">
        <v>5000</v>
      </c>
      <c r="P249" s="1" t="s">
        <v>25</v>
      </c>
    </row>
    <row r="250" spans="1:16" ht="16.5">
      <c r="A250" s="1">
        <v>249</v>
      </c>
      <c r="B250" s="1" t="s">
        <v>13</v>
      </c>
      <c r="C250" s="1">
        <v>44</v>
      </c>
      <c r="D250" s="2" t="str" cm="1">
        <f t="array" ref="D250">_xlfn.IFS(C250&lt;35, "young", C250&lt;50, "middle age", C250&gt;=50, "old")</f>
        <v>middle age</v>
      </c>
      <c r="E250" s="1" t="s">
        <v>49</v>
      </c>
      <c r="F250" s="1">
        <v>6.4</v>
      </c>
      <c r="G250" s="1">
        <v>6</v>
      </c>
      <c r="H250" s="1">
        <v>45</v>
      </c>
      <c r="I250" s="1">
        <v>7</v>
      </c>
      <c r="J250" s="1" t="s">
        <v>15</v>
      </c>
      <c r="K250" s="1" t="s">
        <v>44</v>
      </c>
      <c r="L250" s="1">
        <f t="shared" si="6"/>
        <v>130</v>
      </c>
      <c r="M250" s="3">
        <f t="shared" si="7"/>
        <v>85</v>
      </c>
      <c r="N250" s="1">
        <v>72</v>
      </c>
      <c r="O250" s="1">
        <v>6000</v>
      </c>
      <c r="P250" s="1" t="s">
        <v>17</v>
      </c>
    </row>
    <row r="251" spans="1:16" ht="16.5">
      <c r="A251" s="1">
        <v>250</v>
      </c>
      <c r="B251" s="1" t="s">
        <v>13</v>
      </c>
      <c r="C251" s="1">
        <v>44</v>
      </c>
      <c r="D251" s="2" t="str" cm="1">
        <f t="array" ref="D251">_xlfn.IFS(C251&lt;35, "young", C251&lt;50, "middle age", C251&gt;=50, "old")</f>
        <v>middle age</v>
      </c>
      <c r="E251" s="1" t="s">
        <v>49</v>
      </c>
      <c r="F251" s="1">
        <v>6.5</v>
      </c>
      <c r="G251" s="1">
        <v>6</v>
      </c>
      <c r="H251" s="1">
        <v>45</v>
      </c>
      <c r="I251" s="1">
        <v>7</v>
      </c>
      <c r="J251" s="1" t="s">
        <v>15</v>
      </c>
      <c r="K251" s="1" t="s">
        <v>44</v>
      </c>
      <c r="L251" s="1">
        <f t="shared" si="6"/>
        <v>130</v>
      </c>
      <c r="M251" s="3">
        <f t="shared" si="7"/>
        <v>85</v>
      </c>
      <c r="N251" s="1">
        <v>72</v>
      </c>
      <c r="O251" s="1">
        <v>6000</v>
      </c>
      <c r="P251" s="1" t="s">
        <v>17</v>
      </c>
    </row>
    <row r="252" spans="1:16" ht="16.5">
      <c r="A252" s="1">
        <v>251</v>
      </c>
      <c r="B252" s="1" t="s">
        <v>28</v>
      </c>
      <c r="C252" s="1">
        <v>45</v>
      </c>
      <c r="D252" s="2" t="str" cm="1">
        <f t="array" ref="D252">_xlfn.IFS(C252&lt;35, "young", C252&lt;50, "middle age", C252&gt;=50, "old")</f>
        <v>middle age</v>
      </c>
      <c r="E252" s="1" t="s">
        <v>26</v>
      </c>
      <c r="F252" s="1">
        <v>6.8</v>
      </c>
      <c r="G252" s="1">
        <v>7</v>
      </c>
      <c r="H252" s="1">
        <v>30</v>
      </c>
      <c r="I252" s="1">
        <v>6</v>
      </c>
      <c r="J252" s="1" t="s">
        <v>15</v>
      </c>
      <c r="K252" s="1" t="s">
        <v>50</v>
      </c>
      <c r="L252" s="1">
        <f t="shared" si="6"/>
        <v>135</v>
      </c>
      <c r="M252" s="3">
        <f t="shared" si="7"/>
        <v>90</v>
      </c>
      <c r="N252" s="1">
        <v>65</v>
      </c>
      <c r="O252" s="1">
        <v>6000</v>
      </c>
      <c r="P252" s="1" t="s">
        <v>25</v>
      </c>
    </row>
    <row r="253" spans="1:16" ht="16.5">
      <c r="A253" s="1">
        <v>252</v>
      </c>
      <c r="B253" s="1" t="s">
        <v>28</v>
      </c>
      <c r="C253" s="1">
        <v>45</v>
      </c>
      <c r="D253" s="2" t="str" cm="1">
        <f t="array" ref="D253">_xlfn.IFS(C253&lt;35, "young", C253&lt;50, "middle age", C253&gt;=50, "old")</f>
        <v>middle age</v>
      </c>
      <c r="E253" s="1" t="s">
        <v>26</v>
      </c>
      <c r="F253" s="1">
        <v>6.8</v>
      </c>
      <c r="G253" s="1">
        <v>7</v>
      </c>
      <c r="H253" s="1">
        <v>30</v>
      </c>
      <c r="I253" s="1">
        <v>6</v>
      </c>
      <c r="J253" s="1" t="s">
        <v>15</v>
      </c>
      <c r="K253" s="1" t="s">
        <v>50</v>
      </c>
      <c r="L253" s="1">
        <f t="shared" si="6"/>
        <v>135</v>
      </c>
      <c r="M253" s="3">
        <f t="shared" si="7"/>
        <v>90</v>
      </c>
      <c r="N253" s="1">
        <v>65</v>
      </c>
      <c r="O253" s="1">
        <v>6000</v>
      </c>
      <c r="P253" s="1" t="s">
        <v>25</v>
      </c>
    </row>
    <row r="254" spans="1:16" ht="16.5">
      <c r="A254" s="1">
        <v>253</v>
      </c>
      <c r="B254" s="1" t="s">
        <v>28</v>
      </c>
      <c r="C254" s="1">
        <v>45</v>
      </c>
      <c r="D254" s="2" t="str" cm="1">
        <f t="array" ref="D254">_xlfn.IFS(C254&lt;35, "young", C254&lt;50, "middle age", C254&gt;=50, "old")</f>
        <v>middle age</v>
      </c>
      <c r="E254" s="1" t="s">
        <v>26</v>
      </c>
      <c r="F254" s="1">
        <v>6.5</v>
      </c>
      <c r="G254" s="1">
        <v>7</v>
      </c>
      <c r="H254" s="1">
        <v>45</v>
      </c>
      <c r="I254" s="1">
        <v>4</v>
      </c>
      <c r="J254" s="1" t="s">
        <v>15</v>
      </c>
      <c r="K254" s="1" t="s">
        <v>50</v>
      </c>
      <c r="L254" s="1">
        <f t="shared" si="6"/>
        <v>135</v>
      </c>
      <c r="M254" s="3">
        <f t="shared" si="7"/>
        <v>90</v>
      </c>
      <c r="N254" s="1">
        <v>65</v>
      </c>
      <c r="O254" s="1">
        <v>6000</v>
      </c>
      <c r="P254" s="1" t="s">
        <v>25</v>
      </c>
    </row>
    <row r="255" spans="1:16" ht="16.5">
      <c r="A255" s="1">
        <v>254</v>
      </c>
      <c r="B255" s="1" t="s">
        <v>28</v>
      </c>
      <c r="C255" s="1">
        <v>45</v>
      </c>
      <c r="D255" s="2" t="str" cm="1">
        <f t="array" ref="D255">_xlfn.IFS(C255&lt;35, "young", C255&lt;50, "middle age", C255&gt;=50, "old")</f>
        <v>middle age</v>
      </c>
      <c r="E255" s="1" t="s">
        <v>26</v>
      </c>
      <c r="F255" s="1">
        <v>6.5</v>
      </c>
      <c r="G255" s="1">
        <v>7</v>
      </c>
      <c r="H255" s="1">
        <v>45</v>
      </c>
      <c r="I255" s="1">
        <v>4</v>
      </c>
      <c r="J255" s="1" t="s">
        <v>15</v>
      </c>
      <c r="K255" s="1" t="s">
        <v>50</v>
      </c>
      <c r="L255" s="1">
        <f t="shared" si="6"/>
        <v>135</v>
      </c>
      <c r="M255" s="3">
        <f t="shared" si="7"/>
        <v>90</v>
      </c>
      <c r="N255" s="1">
        <v>65</v>
      </c>
      <c r="O255" s="1">
        <v>6000</v>
      </c>
      <c r="P255" s="1" t="s">
        <v>25</v>
      </c>
    </row>
    <row r="256" spans="1:16" ht="16.5">
      <c r="A256" s="1">
        <v>255</v>
      </c>
      <c r="B256" s="1" t="s">
        <v>28</v>
      </c>
      <c r="C256" s="1">
        <v>45</v>
      </c>
      <c r="D256" s="2" t="str" cm="1">
        <f t="array" ref="D256">_xlfn.IFS(C256&lt;35, "young", C256&lt;50, "middle age", C256&gt;=50, "old")</f>
        <v>middle age</v>
      </c>
      <c r="E256" s="1" t="s">
        <v>26</v>
      </c>
      <c r="F256" s="1">
        <v>6.5</v>
      </c>
      <c r="G256" s="1">
        <v>7</v>
      </c>
      <c r="H256" s="1">
        <v>45</v>
      </c>
      <c r="I256" s="1">
        <v>4</v>
      </c>
      <c r="J256" s="1" t="s">
        <v>15</v>
      </c>
      <c r="K256" s="1" t="s">
        <v>50</v>
      </c>
      <c r="L256" s="1">
        <f t="shared" si="6"/>
        <v>135</v>
      </c>
      <c r="M256" s="3">
        <f t="shared" si="7"/>
        <v>90</v>
      </c>
      <c r="N256" s="1">
        <v>65</v>
      </c>
      <c r="O256" s="1">
        <v>6000</v>
      </c>
      <c r="P256" s="1" t="s">
        <v>25</v>
      </c>
    </row>
    <row r="257" spans="1:16" ht="16.5">
      <c r="A257" s="1">
        <v>256</v>
      </c>
      <c r="B257" s="1" t="s">
        <v>28</v>
      </c>
      <c r="C257" s="1">
        <v>45</v>
      </c>
      <c r="D257" s="2" t="str" cm="1">
        <f t="array" ref="D257">_xlfn.IFS(C257&lt;35, "young", C257&lt;50, "middle age", C257&gt;=50, "old")</f>
        <v>middle age</v>
      </c>
      <c r="E257" s="1" t="s">
        <v>26</v>
      </c>
      <c r="F257" s="1">
        <v>6.5</v>
      </c>
      <c r="G257" s="1">
        <v>7</v>
      </c>
      <c r="H257" s="1">
        <v>45</v>
      </c>
      <c r="I257" s="1">
        <v>4</v>
      </c>
      <c r="J257" s="1" t="s">
        <v>15</v>
      </c>
      <c r="K257" s="1" t="s">
        <v>50</v>
      </c>
      <c r="L257" s="1">
        <f t="shared" si="6"/>
        <v>135</v>
      </c>
      <c r="M257" s="3">
        <f t="shared" si="7"/>
        <v>90</v>
      </c>
      <c r="N257" s="1">
        <v>65</v>
      </c>
      <c r="O257" s="1">
        <v>6000</v>
      </c>
      <c r="P257" s="1" t="s">
        <v>25</v>
      </c>
    </row>
    <row r="258" spans="1:16" ht="16.5">
      <c r="A258" s="1">
        <v>257</v>
      </c>
      <c r="B258" s="1" t="s">
        <v>28</v>
      </c>
      <c r="C258" s="1">
        <v>45</v>
      </c>
      <c r="D258" s="2" t="str" cm="1">
        <f t="array" ref="D258">_xlfn.IFS(C258&lt;35, "young", C258&lt;50, "middle age", C258&gt;=50, "old")</f>
        <v>middle age</v>
      </c>
      <c r="E258" s="1" t="s">
        <v>26</v>
      </c>
      <c r="F258" s="1">
        <v>6.6</v>
      </c>
      <c r="G258" s="1">
        <v>7</v>
      </c>
      <c r="H258" s="1">
        <v>45</v>
      </c>
      <c r="I258" s="1">
        <v>4</v>
      </c>
      <c r="J258" s="1" t="s">
        <v>15</v>
      </c>
      <c r="K258" s="1" t="s">
        <v>50</v>
      </c>
      <c r="L258" s="1">
        <f t="shared" si="6"/>
        <v>135</v>
      </c>
      <c r="M258" s="3">
        <f t="shared" si="7"/>
        <v>90</v>
      </c>
      <c r="N258" s="1">
        <v>65</v>
      </c>
      <c r="O258" s="1">
        <v>6000</v>
      </c>
      <c r="P258" s="1" t="s">
        <v>25</v>
      </c>
    </row>
    <row r="259" spans="1:16" ht="16.5">
      <c r="A259" s="1">
        <v>258</v>
      </c>
      <c r="B259" s="1" t="s">
        <v>28</v>
      </c>
      <c r="C259" s="1">
        <v>45</v>
      </c>
      <c r="D259" s="2" t="str" cm="1">
        <f t="array" ref="D259">_xlfn.IFS(C259&lt;35, "young", C259&lt;50, "middle age", C259&gt;=50, "old")</f>
        <v>middle age</v>
      </c>
      <c r="E259" s="1" t="s">
        <v>26</v>
      </c>
      <c r="F259" s="1">
        <v>6.6</v>
      </c>
      <c r="G259" s="1">
        <v>7</v>
      </c>
      <c r="H259" s="1">
        <v>45</v>
      </c>
      <c r="I259" s="1">
        <v>4</v>
      </c>
      <c r="J259" s="1" t="s">
        <v>15</v>
      </c>
      <c r="K259" s="1" t="s">
        <v>50</v>
      </c>
      <c r="L259" s="1">
        <f t="shared" ref="L259:L322" si="8">VALUE(_xlfn.TEXTBEFORE(K259,"/"))</f>
        <v>135</v>
      </c>
      <c r="M259" s="3">
        <f t="shared" ref="M259:M322" si="9">VALUE(_xlfn.TEXTAFTER(K259,"/"))</f>
        <v>90</v>
      </c>
      <c r="N259" s="1">
        <v>65</v>
      </c>
      <c r="O259" s="1">
        <v>6000</v>
      </c>
      <c r="P259" s="1" t="s">
        <v>25</v>
      </c>
    </row>
    <row r="260" spans="1:16" ht="16.5">
      <c r="A260" s="1">
        <v>259</v>
      </c>
      <c r="B260" s="1" t="s">
        <v>28</v>
      </c>
      <c r="C260" s="1">
        <v>45</v>
      </c>
      <c r="D260" s="2" t="str" cm="1">
        <f t="array" ref="D260">_xlfn.IFS(C260&lt;35, "young", C260&lt;50, "middle age", C260&gt;=50, "old")</f>
        <v>middle age</v>
      </c>
      <c r="E260" s="1" t="s">
        <v>26</v>
      </c>
      <c r="F260" s="1">
        <v>6.6</v>
      </c>
      <c r="G260" s="1">
        <v>7</v>
      </c>
      <c r="H260" s="1">
        <v>45</v>
      </c>
      <c r="I260" s="1">
        <v>4</v>
      </c>
      <c r="J260" s="1" t="s">
        <v>15</v>
      </c>
      <c r="K260" s="1" t="s">
        <v>50</v>
      </c>
      <c r="L260" s="1">
        <f t="shared" si="8"/>
        <v>135</v>
      </c>
      <c r="M260" s="3">
        <f t="shared" si="9"/>
        <v>90</v>
      </c>
      <c r="N260" s="1">
        <v>65</v>
      </c>
      <c r="O260" s="1">
        <v>6000</v>
      </c>
      <c r="P260" s="1" t="s">
        <v>25</v>
      </c>
    </row>
    <row r="261" spans="1:16" ht="16.5">
      <c r="A261" s="1">
        <v>260</v>
      </c>
      <c r="B261" s="1" t="s">
        <v>28</v>
      </c>
      <c r="C261" s="1">
        <v>45</v>
      </c>
      <c r="D261" s="2" t="str" cm="1">
        <f t="array" ref="D261">_xlfn.IFS(C261&lt;35, "young", C261&lt;50, "middle age", C261&gt;=50, "old")</f>
        <v>middle age</v>
      </c>
      <c r="E261" s="1" t="s">
        <v>26</v>
      </c>
      <c r="F261" s="1">
        <v>6.6</v>
      </c>
      <c r="G261" s="1">
        <v>7</v>
      </c>
      <c r="H261" s="1">
        <v>45</v>
      </c>
      <c r="I261" s="1">
        <v>4</v>
      </c>
      <c r="J261" s="1" t="s">
        <v>15</v>
      </c>
      <c r="K261" s="1" t="s">
        <v>50</v>
      </c>
      <c r="L261" s="1">
        <f t="shared" si="8"/>
        <v>135</v>
      </c>
      <c r="M261" s="3">
        <f t="shared" si="9"/>
        <v>90</v>
      </c>
      <c r="N261" s="1">
        <v>65</v>
      </c>
      <c r="O261" s="1">
        <v>6000</v>
      </c>
      <c r="P261" s="1" t="s">
        <v>25</v>
      </c>
    </row>
    <row r="262" spans="1:16" ht="16.5">
      <c r="A262" s="1">
        <v>261</v>
      </c>
      <c r="B262" s="1" t="s">
        <v>28</v>
      </c>
      <c r="C262" s="1">
        <v>45</v>
      </c>
      <c r="D262" s="2" t="str" cm="1">
        <f t="array" ref="D262">_xlfn.IFS(C262&lt;35, "young", C262&lt;50, "middle age", C262&gt;=50, "old")</f>
        <v>middle age</v>
      </c>
      <c r="E262" s="1" t="s">
        <v>26</v>
      </c>
      <c r="F262" s="1">
        <v>6.6</v>
      </c>
      <c r="G262" s="1">
        <v>7</v>
      </c>
      <c r="H262" s="1">
        <v>45</v>
      </c>
      <c r="I262" s="1">
        <v>4</v>
      </c>
      <c r="J262" s="1" t="s">
        <v>15</v>
      </c>
      <c r="K262" s="1" t="s">
        <v>50</v>
      </c>
      <c r="L262" s="1">
        <f t="shared" si="8"/>
        <v>135</v>
      </c>
      <c r="M262" s="3">
        <f t="shared" si="9"/>
        <v>90</v>
      </c>
      <c r="N262" s="1">
        <v>65</v>
      </c>
      <c r="O262" s="1">
        <v>6000</v>
      </c>
      <c r="P262" s="1" t="s">
        <v>25</v>
      </c>
    </row>
    <row r="263" spans="1:16" ht="16.5">
      <c r="A263" s="1">
        <v>262</v>
      </c>
      <c r="B263" s="1" t="s">
        <v>28</v>
      </c>
      <c r="C263" s="1">
        <v>45</v>
      </c>
      <c r="D263" s="2" t="str" cm="1">
        <f t="array" ref="D263">_xlfn.IFS(C263&lt;35, "young", C263&lt;50, "middle age", C263&gt;=50, "old")</f>
        <v>middle age</v>
      </c>
      <c r="E263" s="1" t="s">
        <v>26</v>
      </c>
      <c r="F263" s="1">
        <v>6.6</v>
      </c>
      <c r="G263" s="1">
        <v>7</v>
      </c>
      <c r="H263" s="1">
        <v>45</v>
      </c>
      <c r="I263" s="1">
        <v>4</v>
      </c>
      <c r="J263" s="1" t="s">
        <v>15</v>
      </c>
      <c r="K263" s="1" t="s">
        <v>50</v>
      </c>
      <c r="L263" s="1">
        <f t="shared" si="8"/>
        <v>135</v>
      </c>
      <c r="M263" s="3">
        <f t="shared" si="9"/>
        <v>90</v>
      </c>
      <c r="N263" s="1">
        <v>65</v>
      </c>
      <c r="O263" s="1">
        <v>6000</v>
      </c>
      <c r="P263" s="1" t="s">
        <v>17</v>
      </c>
    </row>
    <row r="264" spans="1:16" ht="16.5">
      <c r="A264" s="1">
        <v>263</v>
      </c>
      <c r="B264" s="1" t="s">
        <v>28</v>
      </c>
      <c r="C264" s="1">
        <v>45</v>
      </c>
      <c r="D264" s="2" t="str" cm="1">
        <f t="array" ref="D264">_xlfn.IFS(C264&lt;35, "young", C264&lt;50, "middle age", C264&gt;=50, "old")</f>
        <v>middle age</v>
      </c>
      <c r="E264" s="1" t="s">
        <v>26</v>
      </c>
      <c r="F264" s="1">
        <v>6.6</v>
      </c>
      <c r="G264" s="1">
        <v>7</v>
      </c>
      <c r="H264" s="1">
        <v>45</v>
      </c>
      <c r="I264" s="1">
        <v>4</v>
      </c>
      <c r="J264" s="1" t="s">
        <v>15</v>
      </c>
      <c r="K264" s="1" t="s">
        <v>50</v>
      </c>
      <c r="L264" s="1">
        <f t="shared" si="8"/>
        <v>135</v>
      </c>
      <c r="M264" s="3">
        <f t="shared" si="9"/>
        <v>90</v>
      </c>
      <c r="N264" s="1">
        <v>65</v>
      </c>
      <c r="O264" s="1">
        <v>6000</v>
      </c>
      <c r="P264" s="1" t="s">
        <v>17</v>
      </c>
    </row>
    <row r="265" spans="1:16" ht="16.5">
      <c r="A265" s="1">
        <v>264</v>
      </c>
      <c r="B265" s="1" t="s">
        <v>28</v>
      </c>
      <c r="C265" s="1">
        <v>45</v>
      </c>
      <c r="D265" s="2" t="str" cm="1">
        <f t="array" ref="D265">_xlfn.IFS(C265&lt;35, "young", C265&lt;50, "middle age", C265&gt;=50, "old")</f>
        <v>middle age</v>
      </c>
      <c r="E265" s="1" t="s">
        <v>52</v>
      </c>
      <c r="F265" s="1">
        <v>6.9</v>
      </c>
      <c r="G265" s="1">
        <v>7</v>
      </c>
      <c r="H265" s="1">
        <v>55</v>
      </c>
      <c r="I265" s="1">
        <v>5</v>
      </c>
      <c r="J265" s="1" t="s">
        <v>15</v>
      </c>
      <c r="K265" s="1" t="s">
        <v>48</v>
      </c>
      <c r="L265" s="1">
        <f t="shared" si="8"/>
        <v>125</v>
      </c>
      <c r="M265" s="3">
        <f t="shared" si="9"/>
        <v>82</v>
      </c>
      <c r="N265" s="1">
        <v>75</v>
      </c>
      <c r="O265" s="1">
        <v>5500</v>
      </c>
      <c r="P265" s="1" t="s">
        <v>17</v>
      </c>
    </row>
    <row r="266" spans="1:16" ht="16.5">
      <c r="A266" s="1">
        <v>265</v>
      </c>
      <c r="B266" s="1" t="s">
        <v>13</v>
      </c>
      <c r="C266" s="1">
        <v>48</v>
      </c>
      <c r="D266" s="2" t="str" cm="1">
        <f t="array" ref="D266">_xlfn.IFS(C266&lt;35, "young", C266&lt;50, "middle age", C266&gt;=50, "old")</f>
        <v>middle age</v>
      </c>
      <c r="E266" s="1" t="s">
        <v>18</v>
      </c>
      <c r="F266" s="1">
        <v>7.3</v>
      </c>
      <c r="G266" s="1">
        <v>7</v>
      </c>
      <c r="H266" s="1">
        <v>65</v>
      </c>
      <c r="I266" s="1">
        <v>5</v>
      </c>
      <c r="J266" s="1" t="s">
        <v>22</v>
      </c>
      <c r="K266" s="1" t="s">
        <v>53</v>
      </c>
      <c r="L266" s="1">
        <f t="shared" si="8"/>
        <v>142</v>
      </c>
      <c r="M266" s="3">
        <f t="shared" si="9"/>
        <v>92</v>
      </c>
      <c r="N266" s="1">
        <v>83</v>
      </c>
      <c r="O266" s="1">
        <v>3500</v>
      </c>
      <c r="P266" s="1" t="s">
        <v>25</v>
      </c>
    </row>
    <row r="267" spans="1:16" ht="16.5">
      <c r="A267" s="1">
        <v>266</v>
      </c>
      <c r="B267" s="1" t="s">
        <v>28</v>
      </c>
      <c r="C267" s="1">
        <v>48</v>
      </c>
      <c r="D267" s="2" t="str" cm="1">
        <f t="array" ref="D267">_xlfn.IFS(C267&lt;35, "young", C267&lt;50, "middle age", C267&gt;=50, "old")</f>
        <v>middle age</v>
      </c>
      <c r="E267" s="1" t="s">
        <v>29</v>
      </c>
      <c r="F267" s="1">
        <v>5.9</v>
      </c>
      <c r="G267" s="1">
        <v>6</v>
      </c>
      <c r="H267" s="1">
        <v>90</v>
      </c>
      <c r="I267" s="1">
        <v>8</v>
      </c>
      <c r="J267" s="1" t="s">
        <v>15</v>
      </c>
      <c r="K267" s="1" t="s">
        <v>54</v>
      </c>
      <c r="L267" s="1">
        <f t="shared" si="8"/>
        <v>140</v>
      </c>
      <c r="M267" s="3">
        <f t="shared" si="9"/>
        <v>95</v>
      </c>
      <c r="N267" s="1">
        <v>75</v>
      </c>
      <c r="O267" s="1">
        <v>10000</v>
      </c>
      <c r="P267" s="1" t="s">
        <v>24</v>
      </c>
    </row>
    <row r="268" spans="1:16" ht="16.5">
      <c r="A268" s="1">
        <v>267</v>
      </c>
      <c r="B268" s="1" t="s">
        <v>13</v>
      </c>
      <c r="C268" s="1">
        <v>48</v>
      </c>
      <c r="D268" s="2" t="str" cm="1">
        <f t="array" ref="D268">_xlfn.IFS(C268&lt;35, "young", C268&lt;50, "middle age", C268&gt;=50, "old")</f>
        <v>middle age</v>
      </c>
      <c r="E268" s="1" t="s">
        <v>18</v>
      </c>
      <c r="F268" s="1">
        <v>7.3</v>
      </c>
      <c r="G268" s="1">
        <v>7</v>
      </c>
      <c r="H268" s="1">
        <v>65</v>
      </c>
      <c r="I268" s="1">
        <v>5</v>
      </c>
      <c r="J268" s="1" t="s">
        <v>22</v>
      </c>
      <c r="K268" s="1" t="s">
        <v>53</v>
      </c>
      <c r="L268" s="1">
        <f t="shared" si="8"/>
        <v>142</v>
      </c>
      <c r="M268" s="3">
        <f t="shared" si="9"/>
        <v>92</v>
      </c>
      <c r="N268" s="1">
        <v>83</v>
      </c>
      <c r="O268" s="1">
        <v>3500</v>
      </c>
      <c r="P268" s="1" t="s">
        <v>25</v>
      </c>
    </row>
    <row r="269" spans="1:16" ht="16.5">
      <c r="A269" s="1">
        <v>268</v>
      </c>
      <c r="B269" s="1" t="s">
        <v>28</v>
      </c>
      <c r="C269" s="1">
        <v>49</v>
      </c>
      <c r="D269" s="2" t="str" cm="1">
        <f t="array" ref="D269">_xlfn.IFS(C269&lt;35, "young", C269&lt;50, "middle age", C269&gt;=50, "old")</f>
        <v>middle age</v>
      </c>
      <c r="E269" s="1" t="s">
        <v>29</v>
      </c>
      <c r="F269" s="1">
        <v>6.2</v>
      </c>
      <c r="G269" s="1">
        <v>6</v>
      </c>
      <c r="H269" s="1">
        <v>90</v>
      </c>
      <c r="I269" s="1">
        <v>8</v>
      </c>
      <c r="J269" s="1" t="s">
        <v>15</v>
      </c>
      <c r="K269" s="1" t="s">
        <v>54</v>
      </c>
      <c r="L269" s="1">
        <f t="shared" si="8"/>
        <v>140</v>
      </c>
      <c r="M269" s="3">
        <f t="shared" si="9"/>
        <v>95</v>
      </c>
      <c r="N269" s="1">
        <v>75</v>
      </c>
      <c r="O269" s="1">
        <v>10000</v>
      </c>
      <c r="P269" s="1" t="s">
        <v>17</v>
      </c>
    </row>
    <row r="270" spans="1:16" ht="16.5">
      <c r="A270" s="1">
        <v>269</v>
      </c>
      <c r="B270" s="1" t="s">
        <v>28</v>
      </c>
      <c r="C270" s="1">
        <v>49</v>
      </c>
      <c r="D270" s="2" t="str" cm="1">
        <f t="array" ref="D270">_xlfn.IFS(C270&lt;35, "young", C270&lt;50, "middle age", C270&gt;=50, "old")</f>
        <v>middle age</v>
      </c>
      <c r="E270" s="1" t="s">
        <v>29</v>
      </c>
      <c r="F270" s="1">
        <v>6</v>
      </c>
      <c r="G270" s="1">
        <v>6</v>
      </c>
      <c r="H270" s="1">
        <v>90</v>
      </c>
      <c r="I270" s="1">
        <v>8</v>
      </c>
      <c r="J270" s="1" t="s">
        <v>15</v>
      </c>
      <c r="K270" s="1" t="s">
        <v>54</v>
      </c>
      <c r="L270" s="1">
        <f t="shared" si="8"/>
        <v>140</v>
      </c>
      <c r="M270" s="3">
        <f t="shared" si="9"/>
        <v>95</v>
      </c>
      <c r="N270" s="1">
        <v>75</v>
      </c>
      <c r="O270" s="1">
        <v>10000</v>
      </c>
      <c r="P270" s="1" t="s">
        <v>24</v>
      </c>
    </row>
    <row r="271" spans="1:16" ht="16.5">
      <c r="A271" s="1">
        <v>270</v>
      </c>
      <c r="B271" s="1" t="s">
        <v>28</v>
      </c>
      <c r="C271" s="1">
        <v>49</v>
      </c>
      <c r="D271" s="2" t="str" cm="1">
        <f t="array" ref="D271">_xlfn.IFS(C271&lt;35, "young", C271&lt;50, "middle age", C271&gt;=50, "old")</f>
        <v>middle age</v>
      </c>
      <c r="E271" s="1" t="s">
        <v>29</v>
      </c>
      <c r="F271" s="1">
        <v>6.1</v>
      </c>
      <c r="G271" s="1">
        <v>6</v>
      </c>
      <c r="H271" s="1">
        <v>90</v>
      </c>
      <c r="I271" s="1">
        <v>8</v>
      </c>
      <c r="J271" s="1" t="s">
        <v>15</v>
      </c>
      <c r="K271" s="1" t="s">
        <v>54</v>
      </c>
      <c r="L271" s="1">
        <f t="shared" si="8"/>
        <v>140</v>
      </c>
      <c r="M271" s="3">
        <f t="shared" si="9"/>
        <v>95</v>
      </c>
      <c r="N271" s="1">
        <v>75</v>
      </c>
      <c r="O271" s="1">
        <v>10000</v>
      </c>
      <c r="P271" s="1" t="s">
        <v>24</v>
      </c>
    </row>
    <row r="272" spans="1:16" ht="16.5">
      <c r="A272" s="1">
        <v>271</v>
      </c>
      <c r="B272" s="1" t="s">
        <v>28</v>
      </c>
      <c r="C272" s="1">
        <v>49</v>
      </c>
      <c r="D272" s="2" t="str" cm="1">
        <f t="array" ref="D272">_xlfn.IFS(C272&lt;35, "young", C272&lt;50, "middle age", C272&gt;=50, "old")</f>
        <v>middle age</v>
      </c>
      <c r="E272" s="1" t="s">
        <v>29</v>
      </c>
      <c r="F272" s="1">
        <v>6.1</v>
      </c>
      <c r="G272" s="1">
        <v>6</v>
      </c>
      <c r="H272" s="1">
        <v>90</v>
      </c>
      <c r="I272" s="1">
        <v>8</v>
      </c>
      <c r="J272" s="1" t="s">
        <v>15</v>
      </c>
      <c r="K272" s="1" t="s">
        <v>54</v>
      </c>
      <c r="L272" s="1">
        <f t="shared" si="8"/>
        <v>140</v>
      </c>
      <c r="M272" s="3">
        <f t="shared" si="9"/>
        <v>95</v>
      </c>
      <c r="N272" s="1">
        <v>75</v>
      </c>
      <c r="O272" s="1">
        <v>10000</v>
      </c>
      <c r="P272" s="1" t="s">
        <v>24</v>
      </c>
    </row>
    <row r="273" spans="1:16" ht="16.5">
      <c r="A273" s="1">
        <v>272</v>
      </c>
      <c r="B273" s="1" t="s">
        <v>28</v>
      </c>
      <c r="C273" s="1">
        <v>49</v>
      </c>
      <c r="D273" s="2" t="str" cm="1">
        <f t="array" ref="D273">_xlfn.IFS(C273&lt;35, "young", C273&lt;50, "middle age", C273&gt;=50, "old")</f>
        <v>middle age</v>
      </c>
      <c r="E273" s="1" t="s">
        <v>29</v>
      </c>
      <c r="F273" s="1">
        <v>6.1</v>
      </c>
      <c r="G273" s="1">
        <v>6</v>
      </c>
      <c r="H273" s="1">
        <v>90</v>
      </c>
      <c r="I273" s="1">
        <v>8</v>
      </c>
      <c r="J273" s="1" t="s">
        <v>15</v>
      </c>
      <c r="K273" s="1" t="s">
        <v>54</v>
      </c>
      <c r="L273" s="1">
        <f t="shared" si="8"/>
        <v>140</v>
      </c>
      <c r="M273" s="3">
        <f t="shared" si="9"/>
        <v>95</v>
      </c>
      <c r="N273" s="1">
        <v>75</v>
      </c>
      <c r="O273" s="1">
        <v>10000</v>
      </c>
      <c r="P273" s="1" t="s">
        <v>24</v>
      </c>
    </row>
    <row r="274" spans="1:16" ht="16.5">
      <c r="A274" s="1">
        <v>273</v>
      </c>
      <c r="B274" s="1" t="s">
        <v>28</v>
      </c>
      <c r="C274" s="1">
        <v>49</v>
      </c>
      <c r="D274" s="2" t="str" cm="1">
        <f t="array" ref="D274">_xlfn.IFS(C274&lt;35, "young", C274&lt;50, "middle age", C274&gt;=50, "old")</f>
        <v>middle age</v>
      </c>
      <c r="E274" s="1" t="s">
        <v>29</v>
      </c>
      <c r="F274" s="1">
        <v>6.1</v>
      </c>
      <c r="G274" s="1">
        <v>6</v>
      </c>
      <c r="H274" s="1">
        <v>90</v>
      </c>
      <c r="I274" s="1">
        <v>8</v>
      </c>
      <c r="J274" s="1" t="s">
        <v>15</v>
      </c>
      <c r="K274" s="1" t="s">
        <v>54</v>
      </c>
      <c r="L274" s="1">
        <f t="shared" si="8"/>
        <v>140</v>
      </c>
      <c r="M274" s="3">
        <f t="shared" si="9"/>
        <v>95</v>
      </c>
      <c r="N274" s="1">
        <v>75</v>
      </c>
      <c r="O274" s="1">
        <v>10000</v>
      </c>
      <c r="P274" s="1" t="s">
        <v>24</v>
      </c>
    </row>
    <row r="275" spans="1:16" ht="16.5">
      <c r="A275" s="1">
        <v>274</v>
      </c>
      <c r="B275" s="1" t="s">
        <v>28</v>
      </c>
      <c r="C275" s="1">
        <v>49</v>
      </c>
      <c r="D275" s="2" t="str" cm="1">
        <f t="array" ref="D275">_xlfn.IFS(C275&lt;35, "young", C275&lt;50, "middle age", C275&gt;=50, "old")</f>
        <v>middle age</v>
      </c>
      <c r="E275" s="1" t="s">
        <v>29</v>
      </c>
      <c r="F275" s="1">
        <v>6.2</v>
      </c>
      <c r="G275" s="1">
        <v>6</v>
      </c>
      <c r="H275" s="1">
        <v>90</v>
      </c>
      <c r="I275" s="1">
        <v>8</v>
      </c>
      <c r="J275" s="1" t="s">
        <v>15</v>
      </c>
      <c r="K275" s="1" t="s">
        <v>54</v>
      </c>
      <c r="L275" s="1">
        <f t="shared" si="8"/>
        <v>140</v>
      </c>
      <c r="M275" s="3">
        <f t="shared" si="9"/>
        <v>95</v>
      </c>
      <c r="N275" s="1">
        <v>75</v>
      </c>
      <c r="O275" s="1">
        <v>10000</v>
      </c>
      <c r="P275" s="1" t="s">
        <v>24</v>
      </c>
    </row>
    <row r="276" spans="1:16" ht="16.5">
      <c r="A276" s="1">
        <v>275</v>
      </c>
      <c r="B276" s="1" t="s">
        <v>28</v>
      </c>
      <c r="C276" s="1">
        <v>49</v>
      </c>
      <c r="D276" s="2" t="str" cm="1">
        <f t="array" ref="D276">_xlfn.IFS(C276&lt;35, "young", C276&lt;50, "middle age", C276&gt;=50, "old")</f>
        <v>middle age</v>
      </c>
      <c r="E276" s="1" t="s">
        <v>29</v>
      </c>
      <c r="F276" s="1">
        <v>6.2</v>
      </c>
      <c r="G276" s="1">
        <v>6</v>
      </c>
      <c r="H276" s="1">
        <v>90</v>
      </c>
      <c r="I276" s="1">
        <v>8</v>
      </c>
      <c r="J276" s="1" t="s">
        <v>15</v>
      </c>
      <c r="K276" s="1" t="s">
        <v>54</v>
      </c>
      <c r="L276" s="1">
        <f t="shared" si="8"/>
        <v>140</v>
      </c>
      <c r="M276" s="3">
        <f t="shared" si="9"/>
        <v>95</v>
      </c>
      <c r="N276" s="1">
        <v>75</v>
      </c>
      <c r="O276" s="1">
        <v>10000</v>
      </c>
      <c r="P276" s="1" t="s">
        <v>24</v>
      </c>
    </row>
    <row r="277" spans="1:16" ht="16.5">
      <c r="A277" s="1">
        <v>276</v>
      </c>
      <c r="B277" s="1" t="s">
        <v>28</v>
      </c>
      <c r="C277" s="1">
        <v>49</v>
      </c>
      <c r="D277" s="2" t="str" cm="1">
        <f t="array" ref="D277">_xlfn.IFS(C277&lt;35, "young", C277&lt;50, "middle age", C277&gt;=50, "old")</f>
        <v>middle age</v>
      </c>
      <c r="E277" s="1" t="s">
        <v>29</v>
      </c>
      <c r="F277" s="1">
        <v>6.2</v>
      </c>
      <c r="G277" s="1">
        <v>6</v>
      </c>
      <c r="H277" s="1">
        <v>90</v>
      </c>
      <c r="I277" s="1">
        <v>8</v>
      </c>
      <c r="J277" s="1" t="s">
        <v>15</v>
      </c>
      <c r="K277" s="1" t="s">
        <v>54</v>
      </c>
      <c r="L277" s="1">
        <f t="shared" si="8"/>
        <v>140</v>
      </c>
      <c r="M277" s="3">
        <f t="shared" si="9"/>
        <v>95</v>
      </c>
      <c r="N277" s="1">
        <v>75</v>
      </c>
      <c r="O277" s="1">
        <v>10000</v>
      </c>
      <c r="P277" s="1" t="s">
        <v>24</v>
      </c>
    </row>
    <row r="278" spans="1:16" ht="16.5">
      <c r="A278" s="1">
        <v>277</v>
      </c>
      <c r="B278" s="1" t="s">
        <v>13</v>
      </c>
      <c r="C278" s="1">
        <v>49</v>
      </c>
      <c r="D278" s="2" t="str" cm="1">
        <f t="array" ref="D278">_xlfn.IFS(C278&lt;35, "young", C278&lt;50, "middle age", C278&gt;=50, "old")</f>
        <v>middle age</v>
      </c>
      <c r="E278" s="1" t="s">
        <v>18</v>
      </c>
      <c r="F278" s="1">
        <v>8.1</v>
      </c>
      <c r="G278" s="1">
        <v>9</v>
      </c>
      <c r="H278" s="1">
        <v>85</v>
      </c>
      <c r="I278" s="1">
        <v>3</v>
      </c>
      <c r="J278" s="1" t="s">
        <v>22</v>
      </c>
      <c r="K278" s="1" t="s">
        <v>55</v>
      </c>
      <c r="L278" s="1">
        <f t="shared" si="8"/>
        <v>139</v>
      </c>
      <c r="M278" s="3">
        <f t="shared" si="9"/>
        <v>91</v>
      </c>
      <c r="N278" s="1">
        <v>86</v>
      </c>
      <c r="O278" s="1">
        <v>3700</v>
      </c>
      <c r="P278" s="1" t="s">
        <v>24</v>
      </c>
    </row>
    <row r="279" spans="1:16" ht="16.5">
      <c r="A279" s="1">
        <v>278</v>
      </c>
      <c r="B279" s="1" t="s">
        <v>13</v>
      </c>
      <c r="C279" s="1">
        <v>49</v>
      </c>
      <c r="D279" s="2" t="str" cm="1">
        <f t="array" ref="D279">_xlfn.IFS(C279&lt;35, "young", C279&lt;50, "middle age", C279&gt;=50, "old")</f>
        <v>middle age</v>
      </c>
      <c r="E279" s="1" t="s">
        <v>18</v>
      </c>
      <c r="F279" s="1">
        <v>8.1</v>
      </c>
      <c r="G279" s="1">
        <v>9</v>
      </c>
      <c r="H279" s="1">
        <v>85</v>
      </c>
      <c r="I279" s="1">
        <v>3</v>
      </c>
      <c r="J279" s="1" t="s">
        <v>22</v>
      </c>
      <c r="K279" s="1" t="s">
        <v>55</v>
      </c>
      <c r="L279" s="1">
        <f t="shared" si="8"/>
        <v>139</v>
      </c>
      <c r="M279" s="3">
        <f t="shared" si="9"/>
        <v>91</v>
      </c>
      <c r="N279" s="1">
        <v>86</v>
      </c>
      <c r="O279" s="1">
        <v>3700</v>
      </c>
      <c r="P279" s="1" t="s">
        <v>24</v>
      </c>
    </row>
    <row r="280" spans="1:16" ht="16.5">
      <c r="A280" s="1">
        <v>279</v>
      </c>
      <c r="B280" s="1" t="s">
        <v>28</v>
      </c>
      <c r="C280" s="1">
        <v>50</v>
      </c>
      <c r="D280" s="2" t="str" cm="1">
        <f t="array" ref="D280">_xlfn.IFS(C280&lt;35, "young", C280&lt;50, "middle age", C280&gt;=50, "old")</f>
        <v>old</v>
      </c>
      <c r="E280" s="1" t="s">
        <v>29</v>
      </c>
      <c r="F280" s="1">
        <v>6.1</v>
      </c>
      <c r="G280" s="1">
        <v>6</v>
      </c>
      <c r="H280" s="1">
        <v>90</v>
      </c>
      <c r="I280" s="1">
        <v>8</v>
      </c>
      <c r="J280" s="1" t="s">
        <v>15</v>
      </c>
      <c r="K280" s="1" t="s">
        <v>54</v>
      </c>
      <c r="L280" s="1">
        <f t="shared" si="8"/>
        <v>140</v>
      </c>
      <c r="M280" s="3">
        <f t="shared" si="9"/>
        <v>95</v>
      </c>
      <c r="N280" s="1">
        <v>75</v>
      </c>
      <c r="O280" s="1">
        <v>10000</v>
      </c>
      <c r="P280" s="1" t="s">
        <v>25</v>
      </c>
    </row>
    <row r="281" spans="1:16" ht="16.5">
      <c r="A281" s="1">
        <v>280</v>
      </c>
      <c r="B281" s="1" t="s">
        <v>28</v>
      </c>
      <c r="C281" s="1">
        <v>50</v>
      </c>
      <c r="D281" s="2" t="str" cm="1">
        <f t="array" ref="D281">_xlfn.IFS(C281&lt;35, "young", C281&lt;50, "middle age", C281&gt;=50, "old")</f>
        <v>old</v>
      </c>
      <c r="E281" s="1" t="s">
        <v>33</v>
      </c>
      <c r="F281" s="1">
        <v>8.3000000000000007</v>
      </c>
      <c r="G281" s="1">
        <v>9</v>
      </c>
      <c r="H281" s="1">
        <v>30</v>
      </c>
      <c r="I281" s="1">
        <v>3</v>
      </c>
      <c r="J281" s="1" t="s">
        <v>19</v>
      </c>
      <c r="K281" s="1" t="s">
        <v>20</v>
      </c>
      <c r="L281" s="1">
        <f t="shared" si="8"/>
        <v>125</v>
      </c>
      <c r="M281" s="3">
        <f t="shared" si="9"/>
        <v>80</v>
      </c>
      <c r="N281" s="1">
        <v>65</v>
      </c>
      <c r="O281" s="1">
        <v>5000</v>
      </c>
      <c r="P281" s="1" t="s">
        <v>17</v>
      </c>
    </row>
    <row r="282" spans="1:16" ht="16.5">
      <c r="A282" s="1">
        <v>281</v>
      </c>
      <c r="B282" s="1" t="s">
        <v>28</v>
      </c>
      <c r="C282" s="1">
        <v>50</v>
      </c>
      <c r="D282" s="2" t="str" cm="1">
        <f t="array" ref="D282">_xlfn.IFS(C282&lt;35, "young", C282&lt;50, "middle age", C282&gt;=50, "old")</f>
        <v>old</v>
      </c>
      <c r="E282" s="1" t="s">
        <v>29</v>
      </c>
      <c r="F282" s="1">
        <v>6</v>
      </c>
      <c r="G282" s="1">
        <v>6</v>
      </c>
      <c r="H282" s="1">
        <v>90</v>
      </c>
      <c r="I282" s="1">
        <v>8</v>
      </c>
      <c r="J282" s="1" t="s">
        <v>15</v>
      </c>
      <c r="K282" s="1" t="s">
        <v>54</v>
      </c>
      <c r="L282" s="1">
        <f t="shared" si="8"/>
        <v>140</v>
      </c>
      <c r="M282" s="3">
        <f t="shared" si="9"/>
        <v>95</v>
      </c>
      <c r="N282" s="1">
        <v>75</v>
      </c>
      <c r="O282" s="1">
        <v>10000</v>
      </c>
      <c r="P282" s="1" t="s">
        <v>17</v>
      </c>
    </row>
    <row r="283" spans="1:16" ht="16.5">
      <c r="A283" s="1">
        <v>282</v>
      </c>
      <c r="B283" s="1" t="s">
        <v>28</v>
      </c>
      <c r="C283" s="1">
        <v>50</v>
      </c>
      <c r="D283" s="2" t="str" cm="1">
        <f t="array" ref="D283">_xlfn.IFS(C283&lt;35, "young", C283&lt;50, "middle age", C283&gt;=50, "old")</f>
        <v>old</v>
      </c>
      <c r="E283" s="1" t="s">
        <v>29</v>
      </c>
      <c r="F283" s="1">
        <v>6.1</v>
      </c>
      <c r="G283" s="1">
        <v>6</v>
      </c>
      <c r="H283" s="1">
        <v>90</v>
      </c>
      <c r="I283" s="1">
        <v>8</v>
      </c>
      <c r="J283" s="1" t="s">
        <v>15</v>
      </c>
      <c r="K283" s="1" t="s">
        <v>54</v>
      </c>
      <c r="L283" s="1">
        <f t="shared" si="8"/>
        <v>140</v>
      </c>
      <c r="M283" s="3">
        <f t="shared" si="9"/>
        <v>95</v>
      </c>
      <c r="N283" s="1">
        <v>75</v>
      </c>
      <c r="O283" s="1">
        <v>10000</v>
      </c>
      <c r="P283" s="1" t="s">
        <v>24</v>
      </c>
    </row>
    <row r="284" spans="1:16" ht="16.5">
      <c r="A284" s="1">
        <v>283</v>
      </c>
      <c r="B284" s="1" t="s">
        <v>28</v>
      </c>
      <c r="C284" s="1">
        <v>50</v>
      </c>
      <c r="D284" s="2" t="str" cm="1">
        <f t="array" ref="D284">_xlfn.IFS(C284&lt;35, "young", C284&lt;50, "middle age", C284&gt;=50, "old")</f>
        <v>old</v>
      </c>
      <c r="E284" s="1" t="s">
        <v>29</v>
      </c>
      <c r="F284" s="1">
        <v>6</v>
      </c>
      <c r="G284" s="1">
        <v>6</v>
      </c>
      <c r="H284" s="1">
        <v>90</v>
      </c>
      <c r="I284" s="1">
        <v>8</v>
      </c>
      <c r="J284" s="1" t="s">
        <v>15</v>
      </c>
      <c r="K284" s="1" t="s">
        <v>54</v>
      </c>
      <c r="L284" s="1">
        <f t="shared" si="8"/>
        <v>140</v>
      </c>
      <c r="M284" s="3">
        <f t="shared" si="9"/>
        <v>95</v>
      </c>
      <c r="N284" s="1">
        <v>75</v>
      </c>
      <c r="O284" s="1">
        <v>10000</v>
      </c>
      <c r="P284" s="1" t="s">
        <v>24</v>
      </c>
    </row>
    <row r="285" spans="1:16" ht="16.5">
      <c r="A285" s="1">
        <v>284</v>
      </c>
      <c r="B285" s="1" t="s">
        <v>28</v>
      </c>
      <c r="C285" s="1">
        <v>50</v>
      </c>
      <c r="D285" s="2" t="str" cm="1">
        <f t="array" ref="D285">_xlfn.IFS(C285&lt;35, "young", C285&lt;50, "middle age", C285&gt;=50, "old")</f>
        <v>old</v>
      </c>
      <c r="E285" s="1" t="s">
        <v>29</v>
      </c>
      <c r="F285" s="1">
        <v>6</v>
      </c>
      <c r="G285" s="1">
        <v>6</v>
      </c>
      <c r="H285" s="1">
        <v>90</v>
      </c>
      <c r="I285" s="1">
        <v>8</v>
      </c>
      <c r="J285" s="1" t="s">
        <v>15</v>
      </c>
      <c r="K285" s="1" t="s">
        <v>54</v>
      </c>
      <c r="L285" s="1">
        <f t="shared" si="8"/>
        <v>140</v>
      </c>
      <c r="M285" s="3">
        <f t="shared" si="9"/>
        <v>95</v>
      </c>
      <c r="N285" s="1">
        <v>75</v>
      </c>
      <c r="O285" s="1">
        <v>10000</v>
      </c>
      <c r="P285" s="1" t="s">
        <v>24</v>
      </c>
    </row>
    <row r="286" spans="1:16" ht="16.5">
      <c r="A286" s="1">
        <v>285</v>
      </c>
      <c r="B286" s="1" t="s">
        <v>28</v>
      </c>
      <c r="C286" s="1">
        <v>50</v>
      </c>
      <c r="D286" s="2" t="str" cm="1">
        <f t="array" ref="D286">_xlfn.IFS(C286&lt;35, "young", C286&lt;50, "middle age", C286&gt;=50, "old")</f>
        <v>old</v>
      </c>
      <c r="E286" s="1" t="s">
        <v>29</v>
      </c>
      <c r="F286" s="1">
        <v>6</v>
      </c>
      <c r="G286" s="1">
        <v>6</v>
      </c>
      <c r="H286" s="1">
        <v>90</v>
      </c>
      <c r="I286" s="1">
        <v>8</v>
      </c>
      <c r="J286" s="1" t="s">
        <v>15</v>
      </c>
      <c r="K286" s="1" t="s">
        <v>54</v>
      </c>
      <c r="L286" s="1">
        <f t="shared" si="8"/>
        <v>140</v>
      </c>
      <c r="M286" s="3">
        <f t="shared" si="9"/>
        <v>95</v>
      </c>
      <c r="N286" s="1">
        <v>75</v>
      </c>
      <c r="O286" s="1">
        <v>10000</v>
      </c>
      <c r="P286" s="1" t="s">
        <v>24</v>
      </c>
    </row>
    <row r="287" spans="1:16" ht="16.5">
      <c r="A287" s="1">
        <v>286</v>
      </c>
      <c r="B287" s="1" t="s">
        <v>28</v>
      </c>
      <c r="C287" s="1">
        <v>50</v>
      </c>
      <c r="D287" s="2" t="str" cm="1">
        <f t="array" ref="D287">_xlfn.IFS(C287&lt;35, "young", C287&lt;50, "middle age", C287&gt;=50, "old")</f>
        <v>old</v>
      </c>
      <c r="E287" s="1" t="s">
        <v>29</v>
      </c>
      <c r="F287" s="1">
        <v>6</v>
      </c>
      <c r="G287" s="1">
        <v>6</v>
      </c>
      <c r="H287" s="1">
        <v>90</v>
      </c>
      <c r="I287" s="1">
        <v>8</v>
      </c>
      <c r="J287" s="1" t="s">
        <v>15</v>
      </c>
      <c r="K287" s="1" t="s">
        <v>54</v>
      </c>
      <c r="L287" s="1">
        <f t="shared" si="8"/>
        <v>140</v>
      </c>
      <c r="M287" s="3">
        <f t="shared" si="9"/>
        <v>95</v>
      </c>
      <c r="N287" s="1">
        <v>75</v>
      </c>
      <c r="O287" s="1">
        <v>10000</v>
      </c>
      <c r="P287" s="1" t="s">
        <v>24</v>
      </c>
    </row>
    <row r="288" spans="1:16" ht="16.5">
      <c r="A288" s="1">
        <v>287</v>
      </c>
      <c r="B288" s="1" t="s">
        <v>28</v>
      </c>
      <c r="C288" s="1">
        <v>50</v>
      </c>
      <c r="D288" s="2" t="str" cm="1">
        <f t="array" ref="D288">_xlfn.IFS(C288&lt;35, "young", C288&lt;50, "middle age", C288&gt;=50, "old")</f>
        <v>old</v>
      </c>
      <c r="E288" s="1" t="s">
        <v>29</v>
      </c>
      <c r="F288" s="1">
        <v>6</v>
      </c>
      <c r="G288" s="1">
        <v>6</v>
      </c>
      <c r="H288" s="1">
        <v>90</v>
      </c>
      <c r="I288" s="1">
        <v>8</v>
      </c>
      <c r="J288" s="1" t="s">
        <v>15</v>
      </c>
      <c r="K288" s="1" t="s">
        <v>54</v>
      </c>
      <c r="L288" s="1">
        <f t="shared" si="8"/>
        <v>140</v>
      </c>
      <c r="M288" s="3">
        <f t="shared" si="9"/>
        <v>95</v>
      </c>
      <c r="N288" s="1">
        <v>75</v>
      </c>
      <c r="O288" s="1">
        <v>10000</v>
      </c>
      <c r="P288" s="1" t="s">
        <v>24</v>
      </c>
    </row>
    <row r="289" spans="1:16" ht="16.5">
      <c r="A289" s="1">
        <v>288</v>
      </c>
      <c r="B289" s="1" t="s">
        <v>28</v>
      </c>
      <c r="C289" s="1">
        <v>50</v>
      </c>
      <c r="D289" s="2" t="str" cm="1">
        <f t="array" ref="D289">_xlfn.IFS(C289&lt;35, "young", C289&lt;50, "middle age", C289&gt;=50, "old")</f>
        <v>old</v>
      </c>
      <c r="E289" s="1" t="s">
        <v>29</v>
      </c>
      <c r="F289" s="1">
        <v>6</v>
      </c>
      <c r="G289" s="1">
        <v>6</v>
      </c>
      <c r="H289" s="1">
        <v>90</v>
      </c>
      <c r="I289" s="1">
        <v>8</v>
      </c>
      <c r="J289" s="1" t="s">
        <v>15</v>
      </c>
      <c r="K289" s="1" t="s">
        <v>54</v>
      </c>
      <c r="L289" s="1">
        <f t="shared" si="8"/>
        <v>140</v>
      </c>
      <c r="M289" s="3">
        <f t="shared" si="9"/>
        <v>95</v>
      </c>
      <c r="N289" s="1">
        <v>75</v>
      </c>
      <c r="O289" s="1">
        <v>10000</v>
      </c>
      <c r="P289" s="1" t="s">
        <v>24</v>
      </c>
    </row>
    <row r="290" spans="1:16" ht="16.5">
      <c r="A290" s="1">
        <v>289</v>
      </c>
      <c r="B290" s="1" t="s">
        <v>28</v>
      </c>
      <c r="C290" s="1">
        <v>50</v>
      </c>
      <c r="D290" s="2" t="str" cm="1">
        <f t="array" ref="D290">_xlfn.IFS(C290&lt;35, "young", C290&lt;50, "middle age", C290&gt;=50, "old")</f>
        <v>old</v>
      </c>
      <c r="E290" s="1" t="s">
        <v>29</v>
      </c>
      <c r="F290" s="1">
        <v>6</v>
      </c>
      <c r="G290" s="1">
        <v>6</v>
      </c>
      <c r="H290" s="1">
        <v>90</v>
      </c>
      <c r="I290" s="1">
        <v>8</v>
      </c>
      <c r="J290" s="1" t="s">
        <v>15</v>
      </c>
      <c r="K290" s="1" t="s">
        <v>54</v>
      </c>
      <c r="L290" s="1">
        <f t="shared" si="8"/>
        <v>140</v>
      </c>
      <c r="M290" s="3">
        <f t="shared" si="9"/>
        <v>95</v>
      </c>
      <c r="N290" s="1">
        <v>75</v>
      </c>
      <c r="O290" s="1">
        <v>10000</v>
      </c>
      <c r="P290" s="1" t="s">
        <v>24</v>
      </c>
    </row>
    <row r="291" spans="1:16" ht="16.5">
      <c r="A291" s="1">
        <v>290</v>
      </c>
      <c r="B291" s="1" t="s">
        <v>28</v>
      </c>
      <c r="C291" s="1">
        <v>50</v>
      </c>
      <c r="D291" s="2" t="str" cm="1">
        <f t="array" ref="D291">_xlfn.IFS(C291&lt;35, "young", C291&lt;50, "middle age", C291&gt;=50, "old")</f>
        <v>old</v>
      </c>
      <c r="E291" s="1" t="s">
        <v>29</v>
      </c>
      <c r="F291" s="1">
        <v>6.1</v>
      </c>
      <c r="G291" s="1">
        <v>6</v>
      </c>
      <c r="H291" s="1">
        <v>90</v>
      </c>
      <c r="I291" s="1">
        <v>8</v>
      </c>
      <c r="J291" s="1" t="s">
        <v>15</v>
      </c>
      <c r="K291" s="1" t="s">
        <v>54</v>
      </c>
      <c r="L291" s="1">
        <f t="shared" si="8"/>
        <v>140</v>
      </c>
      <c r="M291" s="3">
        <f t="shared" si="9"/>
        <v>95</v>
      </c>
      <c r="N291" s="1">
        <v>75</v>
      </c>
      <c r="O291" s="1">
        <v>10000</v>
      </c>
      <c r="P291" s="1" t="s">
        <v>24</v>
      </c>
    </row>
    <row r="292" spans="1:16" ht="16.5">
      <c r="A292" s="1">
        <v>291</v>
      </c>
      <c r="B292" s="1" t="s">
        <v>28</v>
      </c>
      <c r="C292" s="1">
        <v>50</v>
      </c>
      <c r="D292" s="2" t="str" cm="1">
        <f t="array" ref="D292">_xlfn.IFS(C292&lt;35, "young", C292&lt;50, "middle age", C292&gt;=50, "old")</f>
        <v>old</v>
      </c>
      <c r="E292" s="1" t="s">
        <v>29</v>
      </c>
      <c r="F292" s="1">
        <v>6</v>
      </c>
      <c r="G292" s="1">
        <v>6</v>
      </c>
      <c r="H292" s="1">
        <v>90</v>
      </c>
      <c r="I292" s="1">
        <v>8</v>
      </c>
      <c r="J292" s="1" t="s">
        <v>15</v>
      </c>
      <c r="K292" s="1" t="s">
        <v>54</v>
      </c>
      <c r="L292" s="1">
        <f t="shared" si="8"/>
        <v>140</v>
      </c>
      <c r="M292" s="3">
        <f t="shared" si="9"/>
        <v>95</v>
      </c>
      <c r="N292" s="1">
        <v>75</v>
      </c>
      <c r="O292" s="1">
        <v>10000</v>
      </c>
      <c r="P292" s="1" t="s">
        <v>24</v>
      </c>
    </row>
    <row r="293" spans="1:16" ht="16.5">
      <c r="A293" s="1">
        <v>292</v>
      </c>
      <c r="B293" s="1" t="s">
        <v>28</v>
      </c>
      <c r="C293" s="1">
        <v>50</v>
      </c>
      <c r="D293" s="2" t="str" cm="1">
        <f t="array" ref="D293">_xlfn.IFS(C293&lt;35, "young", C293&lt;50, "middle age", C293&gt;=50, "old")</f>
        <v>old</v>
      </c>
      <c r="E293" s="1" t="s">
        <v>29</v>
      </c>
      <c r="F293" s="1">
        <v>6.1</v>
      </c>
      <c r="G293" s="1">
        <v>6</v>
      </c>
      <c r="H293" s="1">
        <v>90</v>
      </c>
      <c r="I293" s="1">
        <v>8</v>
      </c>
      <c r="J293" s="1" t="s">
        <v>15</v>
      </c>
      <c r="K293" s="1" t="s">
        <v>54</v>
      </c>
      <c r="L293" s="1">
        <f t="shared" si="8"/>
        <v>140</v>
      </c>
      <c r="M293" s="3">
        <f t="shared" si="9"/>
        <v>95</v>
      </c>
      <c r="N293" s="1">
        <v>75</v>
      </c>
      <c r="O293" s="1">
        <v>10000</v>
      </c>
      <c r="P293" s="1" t="s">
        <v>24</v>
      </c>
    </row>
    <row r="294" spans="1:16" ht="16.5">
      <c r="A294" s="1">
        <v>293</v>
      </c>
      <c r="B294" s="1" t="s">
        <v>28</v>
      </c>
      <c r="C294" s="1">
        <v>50</v>
      </c>
      <c r="D294" s="2" t="str" cm="1">
        <f t="array" ref="D294">_xlfn.IFS(C294&lt;35, "young", C294&lt;50, "middle age", C294&gt;=50, "old")</f>
        <v>old</v>
      </c>
      <c r="E294" s="1" t="s">
        <v>29</v>
      </c>
      <c r="F294" s="1">
        <v>6.1</v>
      </c>
      <c r="G294" s="1">
        <v>6</v>
      </c>
      <c r="H294" s="1">
        <v>90</v>
      </c>
      <c r="I294" s="1">
        <v>8</v>
      </c>
      <c r="J294" s="1" t="s">
        <v>15</v>
      </c>
      <c r="K294" s="1" t="s">
        <v>54</v>
      </c>
      <c r="L294" s="1">
        <f t="shared" si="8"/>
        <v>140</v>
      </c>
      <c r="M294" s="3">
        <f t="shared" si="9"/>
        <v>95</v>
      </c>
      <c r="N294" s="1">
        <v>75</v>
      </c>
      <c r="O294" s="1">
        <v>10000</v>
      </c>
      <c r="P294" s="1" t="s">
        <v>24</v>
      </c>
    </row>
    <row r="295" spans="1:16" ht="16.5">
      <c r="A295" s="1">
        <v>294</v>
      </c>
      <c r="B295" s="1" t="s">
        <v>28</v>
      </c>
      <c r="C295" s="1">
        <v>50</v>
      </c>
      <c r="D295" s="2" t="str" cm="1">
        <f t="array" ref="D295">_xlfn.IFS(C295&lt;35, "young", C295&lt;50, "middle age", C295&gt;=50, "old")</f>
        <v>old</v>
      </c>
      <c r="E295" s="1" t="s">
        <v>29</v>
      </c>
      <c r="F295" s="1">
        <v>6</v>
      </c>
      <c r="G295" s="1">
        <v>6</v>
      </c>
      <c r="H295" s="1">
        <v>90</v>
      </c>
      <c r="I295" s="1">
        <v>8</v>
      </c>
      <c r="J295" s="1" t="s">
        <v>15</v>
      </c>
      <c r="K295" s="1" t="s">
        <v>54</v>
      </c>
      <c r="L295" s="1">
        <f t="shared" si="8"/>
        <v>140</v>
      </c>
      <c r="M295" s="3">
        <f t="shared" si="9"/>
        <v>95</v>
      </c>
      <c r="N295" s="1">
        <v>75</v>
      </c>
      <c r="O295" s="1">
        <v>10000</v>
      </c>
      <c r="P295" s="1" t="s">
        <v>24</v>
      </c>
    </row>
    <row r="296" spans="1:16" ht="16.5">
      <c r="A296" s="1">
        <v>295</v>
      </c>
      <c r="B296" s="1" t="s">
        <v>28</v>
      </c>
      <c r="C296" s="1">
        <v>50</v>
      </c>
      <c r="D296" s="2" t="str" cm="1">
        <f t="array" ref="D296">_xlfn.IFS(C296&lt;35, "young", C296&lt;50, "middle age", C296&gt;=50, "old")</f>
        <v>old</v>
      </c>
      <c r="E296" s="1" t="s">
        <v>29</v>
      </c>
      <c r="F296" s="1">
        <v>6.1</v>
      </c>
      <c r="G296" s="1">
        <v>6</v>
      </c>
      <c r="H296" s="1">
        <v>90</v>
      </c>
      <c r="I296" s="1">
        <v>8</v>
      </c>
      <c r="J296" s="1" t="s">
        <v>15</v>
      </c>
      <c r="K296" s="1" t="s">
        <v>54</v>
      </c>
      <c r="L296" s="1">
        <f t="shared" si="8"/>
        <v>140</v>
      </c>
      <c r="M296" s="3">
        <f t="shared" si="9"/>
        <v>95</v>
      </c>
      <c r="N296" s="1">
        <v>75</v>
      </c>
      <c r="O296" s="1">
        <v>10000</v>
      </c>
      <c r="P296" s="1" t="s">
        <v>24</v>
      </c>
    </row>
    <row r="297" spans="1:16" ht="16.5">
      <c r="A297" s="1">
        <v>296</v>
      </c>
      <c r="B297" s="1" t="s">
        <v>28</v>
      </c>
      <c r="C297" s="1">
        <v>50</v>
      </c>
      <c r="D297" s="2" t="str" cm="1">
        <f t="array" ref="D297">_xlfn.IFS(C297&lt;35, "young", C297&lt;50, "middle age", C297&gt;=50, "old")</f>
        <v>old</v>
      </c>
      <c r="E297" s="1" t="s">
        <v>29</v>
      </c>
      <c r="F297" s="1">
        <v>6</v>
      </c>
      <c r="G297" s="1">
        <v>6</v>
      </c>
      <c r="H297" s="1">
        <v>90</v>
      </c>
      <c r="I297" s="1">
        <v>8</v>
      </c>
      <c r="J297" s="1" t="s">
        <v>15</v>
      </c>
      <c r="K297" s="1" t="s">
        <v>54</v>
      </c>
      <c r="L297" s="1">
        <f t="shared" si="8"/>
        <v>140</v>
      </c>
      <c r="M297" s="3">
        <f t="shared" si="9"/>
        <v>95</v>
      </c>
      <c r="N297" s="1">
        <v>75</v>
      </c>
      <c r="O297" s="1">
        <v>10000</v>
      </c>
      <c r="P297" s="1" t="s">
        <v>24</v>
      </c>
    </row>
    <row r="298" spans="1:16" ht="16.5">
      <c r="A298" s="1">
        <v>297</v>
      </c>
      <c r="B298" s="1" t="s">
        <v>28</v>
      </c>
      <c r="C298" s="1">
        <v>50</v>
      </c>
      <c r="D298" s="2" t="str" cm="1">
        <f t="array" ref="D298">_xlfn.IFS(C298&lt;35, "young", C298&lt;50, "middle age", C298&gt;=50, "old")</f>
        <v>old</v>
      </c>
      <c r="E298" s="1" t="s">
        <v>29</v>
      </c>
      <c r="F298" s="1">
        <v>6.1</v>
      </c>
      <c r="G298" s="1">
        <v>6</v>
      </c>
      <c r="H298" s="1">
        <v>90</v>
      </c>
      <c r="I298" s="1">
        <v>8</v>
      </c>
      <c r="J298" s="1" t="s">
        <v>15</v>
      </c>
      <c r="K298" s="1" t="s">
        <v>54</v>
      </c>
      <c r="L298" s="1">
        <f t="shared" si="8"/>
        <v>140</v>
      </c>
      <c r="M298" s="3">
        <f t="shared" si="9"/>
        <v>95</v>
      </c>
      <c r="N298" s="1">
        <v>75</v>
      </c>
      <c r="O298" s="1">
        <v>10000</v>
      </c>
      <c r="P298" s="1" t="s">
        <v>24</v>
      </c>
    </row>
    <row r="299" spans="1:16" ht="16.5">
      <c r="A299" s="1">
        <v>298</v>
      </c>
      <c r="B299" s="1" t="s">
        <v>28</v>
      </c>
      <c r="C299" s="1">
        <v>50</v>
      </c>
      <c r="D299" s="2" t="str" cm="1">
        <f t="array" ref="D299">_xlfn.IFS(C299&lt;35, "young", C299&lt;50, "middle age", C299&gt;=50, "old")</f>
        <v>old</v>
      </c>
      <c r="E299" s="1" t="s">
        <v>29</v>
      </c>
      <c r="F299" s="1">
        <v>6.1</v>
      </c>
      <c r="G299" s="1">
        <v>6</v>
      </c>
      <c r="H299" s="1">
        <v>90</v>
      </c>
      <c r="I299" s="1">
        <v>8</v>
      </c>
      <c r="J299" s="1" t="s">
        <v>15</v>
      </c>
      <c r="K299" s="1" t="s">
        <v>54</v>
      </c>
      <c r="L299" s="1">
        <f t="shared" si="8"/>
        <v>140</v>
      </c>
      <c r="M299" s="3">
        <f t="shared" si="9"/>
        <v>95</v>
      </c>
      <c r="N299" s="1">
        <v>75</v>
      </c>
      <c r="O299" s="1">
        <v>10000</v>
      </c>
      <c r="P299" s="1" t="s">
        <v>24</v>
      </c>
    </row>
    <row r="300" spans="1:16" ht="16.5">
      <c r="A300" s="1">
        <v>299</v>
      </c>
      <c r="B300" s="1" t="s">
        <v>28</v>
      </c>
      <c r="C300" s="1">
        <v>51</v>
      </c>
      <c r="D300" s="2" t="str" cm="1">
        <f t="array" ref="D300">_xlfn.IFS(C300&lt;35, "young", C300&lt;50, "middle age", C300&gt;=50, "old")</f>
        <v>old</v>
      </c>
      <c r="E300" s="1" t="s">
        <v>33</v>
      </c>
      <c r="F300" s="1">
        <v>8.5</v>
      </c>
      <c r="G300" s="1">
        <v>9</v>
      </c>
      <c r="H300" s="1">
        <v>30</v>
      </c>
      <c r="I300" s="1">
        <v>3</v>
      </c>
      <c r="J300" s="1" t="s">
        <v>19</v>
      </c>
      <c r="K300" s="1" t="s">
        <v>20</v>
      </c>
      <c r="L300" s="1">
        <f t="shared" si="8"/>
        <v>125</v>
      </c>
      <c r="M300" s="3">
        <f t="shared" si="9"/>
        <v>80</v>
      </c>
      <c r="N300" s="1">
        <v>65</v>
      </c>
      <c r="O300" s="1">
        <v>5000</v>
      </c>
      <c r="P300" s="1" t="s">
        <v>17</v>
      </c>
    </row>
    <row r="301" spans="1:16" ht="16.5">
      <c r="A301" s="1">
        <v>300</v>
      </c>
      <c r="B301" s="1" t="s">
        <v>28</v>
      </c>
      <c r="C301" s="1">
        <v>51</v>
      </c>
      <c r="D301" s="2" t="str" cm="1">
        <f t="array" ref="D301">_xlfn.IFS(C301&lt;35, "young", C301&lt;50, "middle age", C301&gt;=50, "old")</f>
        <v>old</v>
      </c>
      <c r="E301" s="1" t="s">
        <v>33</v>
      </c>
      <c r="F301" s="1">
        <v>8.5</v>
      </c>
      <c r="G301" s="1">
        <v>9</v>
      </c>
      <c r="H301" s="1">
        <v>30</v>
      </c>
      <c r="I301" s="1">
        <v>3</v>
      </c>
      <c r="J301" s="1" t="s">
        <v>19</v>
      </c>
      <c r="K301" s="1" t="s">
        <v>20</v>
      </c>
      <c r="L301" s="1">
        <f t="shared" si="8"/>
        <v>125</v>
      </c>
      <c r="M301" s="3">
        <f t="shared" si="9"/>
        <v>80</v>
      </c>
      <c r="N301" s="1">
        <v>65</v>
      </c>
      <c r="O301" s="1">
        <v>5000</v>
      </c>
      <c r="P301" s="1" t="s">
        <v>17</v>
      </c>
    </row>
    <row r="302" spans="1:16" ht="16.5">
      <c r="A302" s="1">
        <v>301</v>
      </c>
      <c r="B302" s="1" t="s">
        <v>28</v>
      </c>
      <c r="C302" s="1">
        <v>51</v>
      </c>
      <c r="D302" s="2" t="str" cm="1">
        <f t="array" ref="D302">_xlfn.IFS(C302&lt;35, "young", C302&lt;50, "middle age", C302&gt;=50, "old")</f>
        <v>old</v>
      </c>
      <c r="E302" s="1" t="s">
        <v>33</v>
      </c>
      <c r="F302" s="1">
        <v>8.5</v>
      </c>
      <c r="G302" s="1">
        <v>9</v>
      </c>
      <c r="H302" s="1">
        <v>30</v>
      </c>
      <c r="I302" s="1">
        <v>3</v>
      </c>
      <c r="J302" s="1" t="s">
        <v>19</v>
      </c>
      <c r="K302" s="1" t="s">
        <v>20</v>
      </c>
      <c r="L302" s="1">
        <f t="shared" si="8"/>
        <v>125</v>
      </c>
      <c r="M302" s="3">
        <f t="shared" si="9"/>
        <v>80</v>
      </c>
      <c r="N302" s="1">
        <v>65</v>
      </c>
      <c r="O302" s="1">
        <v>5000</v>
      </c>
      <c r="P302" s="1" t="s">
        <v>17</v>
      </c>
    </row>
    <row r="303" spans="1:16" ht="16.5">
      <c r="A303" s="1">
        <v>302</v>
      </c>
      <c r="B303" s="1" t="s">
        <v>28</v>
      </c>
      <c r="C303" s="1">
        <v>51</v>
      </c>
      <c r="D303" s="2" t="str" cm="1">
        <f t="array" ref="D303">_xlfn.IFS(C303&lt;35, "young", C303&lt;50, "middle age", C303&gt;=50, "old")</f>
        <v>old</v>
      </c>
      <c r="E303" s="1" t="s">
        <v>33</v>
      </c>
      <c r="F303" s="1">
        <v>8.5</v>
      </c>
      <c r="G303" s="1">
        <v>9</v>
      </c>
      <c r="H303" s="1">
        <v>30</v>
      </c>
      <c r="I303" s="1">
        <v>3</v>
      </c>
      <c r="J303" s="1" t="s">
        <v>19</v>
      </c>
      <c r="K303" s="1" t="s">
        <v>20</v>
      </c>
      <c r="L303" s="1">
        <f t="shared" si="8"/>
        <v>125</v>
      </c>
      <c r="M303" s="3">
        <f t="shared" si="9"/>
        <v>80</v>
      </c>
      <c r="N303" s="1">
        <v>65</v>
      </c>
      <c r="O303" s="1">
        <v>5000</v>
      </c>
      <c r="P303" s="1" t="s">
        <v>17</v>
      </c>
    </row>
    <row r="304" spans="1:16" ht="16.5">
      <c r="A304" s="1">
        <v>303</v>
      </c>
      <c r="B304" s="1" t="s">
        <v>28</v>
      </c>
      <c r="C304" s="1">
        <v>51</v>
      </c>
      <c r="D304" s="2" t="str" cm="1">
        <f t="array" ref="D304">_xlfn.IFS(C304&lt;35, "young", C304&lt;50, "middle age", C304&gt;=50, "old")</f>
        <v>old</v>
      </c>
      <c r="E304" s="1" t="s">
        <v>29</v>
      </c>
      <c r="F304" s="1">
        <v>7.1</v>
      </c>
      <c r="G304" s="1">
        <v>7</v>
      </c>
      <c r="H304" s="1">
        <v>55</v>
      </c>
      <c r="I304" s="1">
        <v>6</v>
      </c>
      <c r="J304" s="1" t="s">
        <v>19</v>
      </c>
      <c r="K304" s="1" t="s">
        <v>48</v>
      </c>
      <c r="L304" s="1">
        <f t="shared" si="8"/>
        <v>125</v>
      </c>
      <c r="M304" s="3">
        <f t="shared" si="9"/>
        <v>82</v>
      </c>
      <c r="N304" s="1">
        <v>72</v>
      </c>
      <c r="O304" s="1">
        <v>6000</v>
      </c>
      <c r="P304" s="1" t="s">
        <v>17</v>
      </c>
    </row>
    <row r="305" spans="1:16" ht="16.5">
      <c r="A305" s="1">
        <v>304</v>
      </c>
      <c r="B305" s="1" t="s">
        <v>28</v>
      </c>
      <c r="C305" s="1">
        <v>51</v>
      </c>
      <c r="D305" s="2" t="str" cm="1">
        <f t="array" ref="D305">_xlfn.IFS(C305&lt;35, "young", C305&lt;50, "middle age", C305&gt;=50, "old")</f>
        <v>old</v>
      </c>
      <c r="E305" s="1" t="s">
        <v>29</v>
      </c>
      <c r="F305" s="1">
        <v>6</v>
      </c>
      <c r="G305" s="1">
        <v>6</v>
      </c>
      <c r="H305" s="1">
        <v>90</v>
      </c>
      <c r="I305" s="1">
        <v>8</v>
      </c>
      <c r="J305" s="1" t="s">
        <v>15</v>
      </c>
      <c r="K305" s="1" t="s">
        <v>54</v>
      </c>
      <c r="L305" s="1">
        <f t="shared" si="8"/>
        <v>140</v>
      </c>
      <c r="M305" s="3">
        <f t="shared" si="9"/>
        <v>95</v>
      </c>
      <c r="N305" s="1">
        <v>75</v>
      </c>
      <c r="O305" s="1">
        <v>10000</v>
      </c>
      <c r="P305" s="1" t="s">
        <v>24</v>
      </c>
    </row>
    <row r="306" spans="1:16" ht="16.5">
      <c r="A306" s="1">
        <v>305</v>
      </c>
      <c r="B306" s="1" t="s">
        <v>28</v>
      </c>
      <c r="C306" s="1">
        <v>51</v>
      </c>
      <c r="D306" s="2" t="str" cm="1">
        <f t="array" ref="D306">_xlfn.IFS(C306&lt;35, "young", C306&lt;50, "middle age", C306&gt;=50, "old")</f>
        <v>old</v>
      </c>
      <c r="E306" s="1" t="s">
        <v>29</v>
      </c>
      <c r="F306" s="1">
        <v>6.1</v>
      </c>
      <c r="G306" s="1">
        <v>6</v>
      </c>
      <c r="H306" s="1">
        <v>90</v>
      </c>
      <c r="I306" s="1">
        <v>8</v>
      </c>
      <c r="J306" s="1" t="s">
        <v>15</v>
      </c>
      <c r="K306" s="1" t="s">
        <v>54</v>
      </c>
      <c r="L306" s="1">
        <f t="shared" si="8"/>
        <v>140</v>
      </c>
      <c r="M306" s="3">
        <f t="shared" si="9"/>
        <v>95</v>
      </c>
      <c r="N306" s="1">
        <v>75</v>
      </c>
      <c r="O306" s="1">
        <v>10000</v>
      </c>
      <c r="P306" s="1" t="s">
        <v>24</v>
      </c>
    </row>
    <row r="307" spans="1:16" ht="16.5">
      <c r="A307" s="1">
        <v>306</v>
      </c>
      <c r="B307" s="1" t="s">
        <v>28</v>
      </c>
      <c r="C307" s="1">
        <v>51</v>
      </c>
      <c r="D307" s="2" t="str" cm="1">
        <f t="array" ref="D307">_xlfn.IFS(C307&lt;35, "young", C307&lt;50, "middle age", C307&gt;=50, "old")</f>
        <v>old</v>
      </c>
      <c r="E307" s="1" t="s">
        <v>29</v>
      </c>
      <c r="F307" s="1">
        <v>6.1</v>
      </c>
      <c r="G307" s="1">
        <v>6</v>
      </c>
      <c r="H307" s="1">
        <v>90</v>
      </c>
      <c r="I307" s="1">
        <v>8</v>
      </c>
      <c r="J307" s="1" t="s">
        <v>15</v>
      </c>
      <c r="K307" s="1" t="s">
        <v>54</v>
      </c>
      <c r="L307" s="1">
        <f t="shared" si="8"/>
        <v>140</v>
      </c>
      <c r="M307" s="3">
        <f t="shared" si="9"/>
        <v>95</v>
      </c>
      <c r="N307" s="1">
        <v>75</v>
      </c>
      <c r="O307" s="1">
        <v>10000</v>
      </c>
      <c r="P307" s="1" t="s">
        <v>24</v>
      </c>
    </row>
    <row r="308" spans="1:16" ht="16.5">
      <c r="A308" s="1">
        <v>307</v>
      </c>
      <c r="B308" s="1" t="s">
        <v>28</v>
      </c>
      <c r="C308" s="1">
        <v>52</v>
      </c>
      <c r="D308" s="2" t="str" cm="1">
        <f t="array" ref="D308">_xlfn.IFS(C308&lt;35, "young", C308&lt;50, "middle age", C308&gt;=50, "old")</f>
        <v>old</v>
      </c>
      <c r="E308" s="1" t="s">
        <v>34</v>
      </c>
      <c r="F308" s="1">
        <v>6.5</v>
      </c>
      <c r="G308" s="1">
        <v>7</v>
      </c>
      <c r="H308" s="1">
        <v>45</v>
      </c>
      <c r="I308" s="1">
        <v>7</v>
      </c>
      <c r="J308" s="1" t="s">
        <v>15</v>
      </c>
      <c r="K308" s="1" t="s">
        <v>44</v>
      </c>
      <c r="L308" s="1">
        <f t="shared" si="8"/>
        <v>130</v>
      </c>
      <c r="M308" s="3">
        <f t="shared" si="9"/>
        <v>85</v>
      </c>
      <c r="N308" s="1">
        <v>72</v>
      </c>
      <c r="O308" s="1">
        <v>6000</v>
      </c>
      <c r="P308" s="1" t="s">
        <v>25</v>
      </c>
    </row>
    <row r="309" spans="1:16" ht="16.5">
      <c r="A309" s="1">
        <v>308</v>
      </c>
      <c r="B309" s="1" t="s">
        <v>28</v>
      </c>
      <c r="C309" s="1">
        <v>52</v>
      </c>
      <c r="D309" s="2" t="str" cm="1">
        <f t="array" ref="D309">_xlfn.IFS(C309&lt;35, "young", C309&lt;50, "middle age", C309&gt;=50, "old")</f>
        <v>old</v>
      </c>
      <c r="E309" s="1" t="s">
        <v>34</v>
      </c>
      <c r="F309" s="1">
        <v>6.5</v>
      </c>
      <c r="G309" s="1">
        <v>7</v>
      </c>
      <c r="H309" s="1">
        <v>45</v>
      </c>
      <c r="I309" s="1">
        <v>7</v>
      </c>
      <c r="J309" s="1" t="s">
        <v>15</v>
      </c>
      <c r="K309" s="1" t="s">
        <v>44</v>
      </c>
      <c r="L309" s="1">
        <f t="shared" si="8"/>
        <v>130</v>
      </c>
      <c r="M309" s="3">
        <f t="shared" si="9"/>
        <v>85</v>
      </c>
      <c r="N309" s="1">
        <v>72</v>
      </c>
      <c r="O309" s="1">
        <v>6000</v>
      </c>
      <c r="P309" s="1" t="s">
        <v>25</v>
      </c>
    </row>
    <row r="310" spans="1:16" ht="16.5">
      <c r="A310" s="1">
        <v>309</v>
      </c>
      <c r="B310" s="1" t="s">
        <v>28</v>
      </c>
      <c r="C310" s="1">
        <v>52</v>
      </c>
      <c r="D310" s="2" t="str" cm="1">
        <f t="array" ref="D310">_xlfn.IFS(C310&lt;35, "young", C310&lt;50, "middle age", C310&gt;=50, "old")</f>
        <v>old</v>
      </c>
      <c r="E310" s="1" t="s">
        <v>34</v>
      </c>
      <c r="F310" s="1">
        <v>6.6</v>
      </c>
      <c r="G310" s="1">
        <v>7</v>
      </c>
      <c r="H310" s="1">
        <v>45</v>
      </c>
      <c r="I310" s="1">
        <v>7</v>
      </c>
      <c r="J310" s="1" t="s">
        <v>15</v>
      </c>
      <c r="K310" s="1" t="s">
        <v>44</v>
      </c>
      <c r="L310" s="1">
        <f t="shared" si="8"/>
        <v>130</v>
      </c>
      <c r="M310" s="3">
        <f t="shared" si="9"/>
        <v>85</v>
      </c>
      <c r="N310" s="1">
        <v>72</v>
      </c>
      <c r="O310" s="1">
        <v>6000</v>
      </c>
      <c r="P310" s="1" t="s">
        <v>25</v>
      </c>
    </row>
    <row r="311" spans="1:16" ht="16.5">
      <c r="A311" s="1">
        <v>310</v>
      </c>
      <c r="B311" s="1" t="s">
        <v>28</v>
      </c>
      <c r="C311" s="1">
        <v>52</v>
      </c>
      <c r="D311" s="2" t="str" cm="1">
        <f t="array" ref="D311">_xlfn.IFS(C311&lt;35, "young", C311&lt;50, "middle age", C311&gt;=50, "old")</f>
        <v>old</v>
      </c>
      <c r="E311" s="1" t="s">
        <v>34</v>
      </c>
      <c r="F311" s="1">
        <v>6.6</v>
      </c>
      <c r="G311" s="1">
        <v>7</v>
      </c>
      <c r="H311" s="1">
        <v>45</v>
      </c>
      <c r="I311" s="1">
        <v>7</v>
      </c>
      <c r="J311" s="1" t="s">
        <v>15</v>
      </c>
      <c r="K311" s="1" t="s">
        <v>44</v>
      </c>
      <c r="L311" s="1">
        <f t="shared" si="8"/>
        <v>130</v>
      </c>
      <c r="M311" s="3">
        <f t="shared" si="9"/>
        <v>85</v>
      </c>
      <c r="N311" s="1">
        <v>72</v>
      </c>
      <c r="O311" s="1">
        <v>6000</v>
      </c>
      <c r="P311" s="1" t="s">
        <v>25</v>
      </c>
    </row>
    <row r="312" spans="1:16" ht="16.5">
      <c r="A312" s="1">
        <v>311</v>
      </c>
      <c r="B312" s="1" t="s">
        <v>28</v>
      </c>
      <c r="C312" s="1">
        <v>52</v>
      </c>
      <c r="D312" s="2" t="str" cm="1">
        <f t="array" ref="D312">_xlfn.IFS(C312&lt;35, "young", C312&lt;50, "middle age", C312&gt;=50, "old")</f>
        <v>old</v>
      </c>
      <c r="E312" s="1" t="s">
        <v>34</v>
      </c>
      <c r="F312" s="1">
        <v>6.6</v>
      </c>
      <c r="G312" s="1">
        <v>7</v>
      </c>
      <c r="H312" s="1">
        <v>45</v>
      </c>
      <c r="I312" s="1">
        <v>7</v>
      </c>
      <c r="J312" s="1" t="s">
        <v>15</v>
      </c>
      <c r="K312" s="1" t="s">
        <v>44</v>
      </c>
      <c r="L312" s="1">
        <f t="shared" si="8"/>
        <v>130</v>
      </c>
      <c r="M312" s="3">
        <f t="shared" si="9"/>
        <v>85</v>
      </c>
      <c r="N312" s="1">
        <v>72</v>
      </c>
      <c r="O312" s="1">
        <v>6000</v>
      </c>
      <c r="P312" s="1" t="s">
        <v>25</v>
      </c>
    </row>
    <row r="313" spans="1:16" ht="16.5">
      <c r="A313" s="1">
        <v>312</v>
      </c>
      <c r="B313" s="1" t="s">
        <v>28</v>
      </c>
      <c r="C313" s="1">
        <v>52</v>
      </c>
      <c r="D313" s="2" t="str" cm="1">
        <f t="array" ref="D313">_xlfn.IFS(C313&lt;35, "young", C313&lt;50, "middle age", C313&gt;=50, "old")</f>
        <v>old</v>
      </c>
      <c r="E313" s="1" t="s">
        <v>34</v>
      </c>
      <c r="F313" s="1">
        <v>6.6</v>
      </c>
      <c r="G313" s="1">
        <v>7</v>
      </c>
      <c r="H313" s="1">
        <v>45</v>
      </c>
      <c r="I313" s="1">
        <v>7</v>
      </c>
      <c r="J313" s="1" t="s">
        <v>15</v>
      </c>
      <c r="K313" s="1" t="s">
        <v>44</v>
      </c>
      <c r="L313" s="1">
        <f t="shared" si="8"/>
        <v>130</v>
      </c>
      <c r="M313" s="3">
        <f t="shared" si="9"/>
        <v>85</v>
      </c>
      <c r="N313" s="1">
        <v>72</v>
      </c>
      <c r="O313" s="1">
        <v>6000</v>
      </c>
      <c r="P313" s="1" t="s">
        <v>25</v>
      </c>
    </row>
    <row r="314" spans="1:16" ht="16.5">
      <c r="A314" s="1">
        <v>313</v>
      </c>
      <c r="B314" s="1" t="s">
        <v>28</v>
      </c>
      <c r="C314" s="1">
        <v>52</v>
      </c>
      <c r="D314" s="2" t="str" cm="1">
        <f t="array" ref="D314">_xlfn.IFS(C314&lt;35, "young", C314&lt;50, "middle age", C314&gt;=50, "old")</f>
        <v>old</v>
      </c>
      <c r="E314" s="1" t="s">
        <v>33</v>
      </c>
      <c r="F314" s="1">
        <v>8.4</v>
      </c>
      <c r="G314" s="1">
        <v>9</v>
      </c>
      <c r="H314" s="1">
        <v>30</v>
      </c>
      <c r="I314" s="1">
        <v>3</v>
      </c>
      <c r="J314" s="1" t="s">
        <v>19</v>
      </c>
      <c r="K314" s="1" t="s">
        <v>20</v>
      </c>
      <c r="L314" s="1">
        <f t="shared" si="8"/>
        <v>125</v>
      </c>
      <c r="M314" s="3">
        <f t="shared" si="9"/>
        <v>80</v>
      </c>
      <c r="N314" s="1">
        <v>65</v>
      </c>
      <c r="O314" s="1">
        <v>5000</v>
      </c>
      <c r="P314" s="1" t="s">
        <v>17</v>
      </c>
    </row>
    <row r="315" spans="1:16" ht="16.5">
      <c r="A315" s="1">
        <v>314</v>
      </c>
      <c r="B315" s="1" t="s">
        <v>28</v>
      </c>
      <c r="C315" s="1">
        <v>52</v>
      </c>
      <c r="D315" s="2" t="str" cm="1">
        <f t="array" ref="D315">_xlfn.IFS(C315&lt;35, "young", C315&lt;50, "middle age", C315&gt;=50, "old")</f>
        <v>old</v>
      </c>
      <c r="E315" s="1" t="s">
        <v>33</v>
      </c>
      <c r="F315" s="1">
        <v>8.4</v>
      </c>
      <c r="G315" s="1">
        <v>9</v>
      </c>
      <c r="H315" s="1">
        <v>30</v>
      </c>
      <c r="I315" s="1">
        <v>3</v>
      </c>
      <c r="J315" s="1" t="s">
        <v>19</v>
      </c>
      <c r="K315" s="1" t="s">
        <v>20</v>
      </c>
      <c r="L315" s="1">
        <f t="shared" si="8"/>
        <v>125</v>
      </c>
      <c r="M315" s="3">
        <f t="shared" si="9"/>
        <v>80</v>
      </c>
      <c r="N315" s="1">
        <v>65</v>
      </c>
      <c r="O315" s="1">
        <v>5000</v>
      </c>
      <c r="P315" s="1" t="s">
        <v>17</v>
      </c>
    </row>
    <row r="316" spans="1:16" ht="16.5">
      <c r="A316" s="1">
        <v>315</v>
      </c>
      <c r="B316" s="1" t="s">
        <v>28</v>
      </c>
      <c r="C316" s="1">
        <v>52</v>
      </c>
      <c r="D316" s="2" t="str" cm="1">
        <f t="array" ref="D316">_xlfn.IFS(C316&lt;35, "young", C316&lt;50, "middle age", C316&gt;=50, "old")</f>
        <v>old</v>
      </c>
      <c r="E316" s="1" t="s">
        <v>33</v>
      </c>
      <c r="F316" s="1">
        <v>8.4</v>
      </c>
      <c r="G316" s="1">
        <v>9</v>
      </c>
      <c r="H316" s="1">
        <v>30</v>
      </c>
      <c r="I316" s="1">
        <v>3</v>
      </c>
      <c r="J316" s="1" t="s">
        <v>19</v>
      </c>
      <c r="K316" s="1" t="s">
        <v>20</v>
      </c>
      <c r="L316" s="1">
        <f t="shared" si="8"/>
        <v>125</v>
      </c>
      <c r="M316" s="3">
        <f t="shared" si="9"/>
        <v>80</v>
      </c>
      <c r="N316" s="1">
        <v>65</v>
      </c>
      <c r="O316" s="1">
        <v>5000</v>
      </c>
      <c r="P316" s="1" t="s">
        <v>17</v>
      </c>
    </row>
    <row r="317" spans="1:16" ht="16.5">
      <c r="A317" s="1">
        <v>316</v>
      </c>
      <c r="B317" s="1" t="s">
        <v>28</v>
      </c>
      <c r="C317" s="1">
        <v>53</v>
      </c>
      <c r="D317" s="2" t="str" cm="1">
        <f t="array" ref="D317">_xlfn.IFS(C317&lt;35, "young", C317&lt;50, "middle age", C317&gt;=50, "old")</f>
        <v>old</v>
      </c>
      <c r="E317" s="1" t="s">
        <v>33</v>
      </c>
      <c r="F317" s="1">
        <v>8.3000000000000007</v>
      </c>
      <c r="G317" s="1">
        <v>9</v>
      </c>
      <c r="H317" s="1">
        <v>30</v>
      </c>
      <c r="I317" s="1">
        <v>3</v>
      </c>
      <c r="J317" s="1" t="s">
        <v>19</v>
      </c>
      <c r="K317" s="1" t="s">
        <v>20</v>
      </c>
      <c r="L317" s="1">
        <f t="shared" si="8"/>
        <v>125</v>
      </c>
      <c r="M317" s="3">
        <f t="shared" si="9"/>
        <v>80</v>
      </c>
      <c r="N317" s="1">
        <v>65</v>
      </c>
      <c r="O317" s="1">
        <v>5000</v>
      </c>
      <c r="P317" s="1" t="s">
        <v>25</v>
      </c>
    </row>
    <row r="318" spans="1:16" ht="16.5">
      <c r="A318" s="1">
        <v>317</v>
      </c>
      <c r="B318" s="1" t="s">
        <v>28</v>
      </c>
      <c r="C318" s="1">
        <v>53</v>
      </c>
      <c r="D318" s="2" t="str" cm="1">
        <f t="array" ref="D318">_xlfn.IFS(C318&lt;35, "young", C318&lt;50, "middle age", C318&gt;=50, "old")</f>
        <v>old</v>
      </c>
      <c r="E318" s="1" t="s">
        <v>33</v>
      </c>
      <c r="F318" s="1">
        <v>8.5</v>
      </c>
      <c r="G318" s="1">
        <v>9</v>
      </c>
      <c r="H318" s="1">
        <v>30</v>
      </c>
      <c r="I318" s="1">
        <v>3</v>
      </c>
      <c r="J318" s="1" t="s">
        <v>19</v>
      </c>
      <c r="K318" s="1" t="s">
        <v>20</v>
      </c>
      <c r="L318" s="1">
        <f t="shared" si="8"/>
        <v>125</v>
      </c>
      <c r="M318" s="3">
        <f t="shared" si="9"/>
        <v>80</v>
      </c>
      <c r="N318" s="1">
        <v>65</v>
      </c>
      <c r="O318" s="1">
        <v>5000</v>
      </c>
      <c r="P318" s="1" t="s">
        <v>17</v>
      </c>
    </row>
    <row r="319" spans="1:16" ht="16.5">
      <c r="A319" s="1">
        <v>318</v>
      </c>
      <c r="B319" s="1" t="s">
        <v>28</v>
      </c>
      <c r="C319" s="1">
        <v>53</v>
      </c>
      <c r="D319" s="2" t="str" cm="1">
        <f t="array" ref="D319">_xlfn.IFS(C319&lt;35, "young", C319&lt;50, "middle age", C319&gt;=50, "old")</f>
        <v>old</v>
      </c>
      <c r="E319" s="1" t="s">
        <v>33</v>
      </c>
      <c r="F319" s="1">
        <v>8.5</v>
      </c>
      <c r="G319" s="1">
        <v>9</v>
      </c>
      <c r="H319" s="1">
        <v>30</v>
      </c>
      <c r="I319" s="1">
        <v>3</v>
      </c>
      <c r="J319" s="1" t="s">
        <v>19</v>
      </c>
      <c r="K319" s="1" t="s">
        <v>20</v>
      </c>
      <c r="L319" s="1">
        <f t="shared" si="8"/>
        <v>125</v>
      </c>
      <c r="M319" s="3">
        <f t="shared" si="9"/>
        <v>80</v>
      </c>
      <c r="N319" s="1">
        <v>65</v>
      </c>
      <c r="O319" s="1">
        <v>5000</v>
      </c>
      <c r="P319" s="1" t="s">
        <v>17</v>
      </c>
    </row>
    <row r="320" spans="1:16" ht="16.5">
      <c r="A320" s="1">
        <v>319</v>
      </c>
      <c r="B320" s="1" t="s">
        <v>28</v>
      </c>
      <c r="C320" s="1">
        <v>53</v>
      </c>
      <c r="D320" s="2" t="str" cm="1">
        <f t="array" ref="D320">_xlfn.IFS(C320&lt;35, "young", C320&lt;50, "middle age", C320&gt;=50, "old")</f>
        <v>old</v>
      </c>
      <c r="E320" s="1" t="s">
        <v>33</v>
      </c>
      <c r="F320" s="1">
        <v>8.4</v>
      </c>
      <c r="G320" s="1">
        <v>9</v>
      </c>
      <c r="H320" s="1">
        <v>30</v>
      </c>
      <c r="I320" s="1">
        <v>3</v>
      </c>
      <c r="J320" s="1" t="s">
        <v>19</v>
      </c>
      <c r="K320" s="1" t="s">
        <v>20</v>
      </c>
      <c r="L320" s="1">
        <f t="shared" si="8"/>
        <v>125</v>
      </c>
      <c r="M320" s="3">
        <f t="shared" si="9"/>
        <v>80</v>
      </c>
      <c r="N320" s="1">
        <v>65</v>
      </c>
      <c r="O320" s="1">
        <v>5000</v>
      </c>
      <c r="P320" s="1" t="s">
        <v>17</v>
      </c>
    </row>
    <row r="321" spans="1:16" ht="16.5">
      <c r="A321" s="1">
        <v>320</v>
      </c>
      <c r="B321" s="1" t="s">
        <v>28</v>
      </c>
      <c r="C321" s="1">
        <v>53</v>
      </c>
      <c r="D321" s="2" t="str" cm="1">
        <f t="array" ref="D321">_xlfn.IFS(C321&lt;35, "young", C321&lt;50, "middle age", C321&gt;=50, "old")</f>
        <v>old</v>
      </c>
      <c r="E321" s="1" t="s">
        <v>33</v>
      </c>
      <c r="F321" s="1">
        <v>8.4</v>
      </c>
      <c r="G321" s="1">
        <v>9</v>
      </c>
      <c r="H321" s="1">
        <v>30</v>
      </c>
      <c r="I321" s="1">
        <v>3</v>
      </c>
      <c r="J321" s="1" t="s">
        <v>19</v>
      </c>
      <c r="K321" s="1" t="s">
        <v>20</v>
      </c>
      <c r="L321" s="1">
        <f t="shared" si="8"/>
        <v>125</v>
      </c>
      <c r="M321" s="3">
        <f t="shared" si="9"/>
        <v>80</v>
      </c>
      <c r="N321" s="1">
        <v>65</v>
      </c>
      <c r="O321" s="1">
        <v>5000</v>
      </c>
      <c r="P321" s="1" t="s">
        <v>17</v>
      </c>
    </row>
    <row r="322" spans="1:16" ht="16.5">
      <c r="A322" s="1">
        <v>321</v>
      </c>
      <c r="B322" s="1" t="s">
        <v>28</v>
      </c>
      <c r="C322" s="1">
        <v>53</v>
      </c>
      <c r="D322" s="2" t="str" cm="1">
        <f t="array" ref="D322">_xlfn.IFS(C322&lt;35, "young", C322&lt;50, "middle age", C322&gt;=50, "old")</f>
        <v>old</v>
      </c>
      <c r="E322" s="1" t="s">
        <v>33</v>
      </c>
      <c r="F322" s="1">
        <v>8.5</v>
      </c>
      <c r="G322" s="1">
        <v>9</v>
      </c>
      <c r="H322" s="1">
        <v>30</v>
      </c>
      <c r="I322" s="1">
        <v>3</v>
      </c>
      <c r="J322" s="1" t="s">
        <v>19</v>
      </c>
      <c r="K322" s="1" t="s">
        <v>20</v>
      </c>
      <c r="L322" s="1">
        <f t="shared" si="8"/>
        <v>125</v>
      </c>
      <c r="M322" s="3">
        <f t="shared" si="9"/>
        <v>80</v>
      </c>
      <c r="N322" s="1">
        <v>65</v>
      </c>
      <c r="O322" s="1">
        <v>5000</v>
      </c>
      <c r="P322" s="1" t="s">
        <v>17</v>
      </c>
    </row>
    <row r="323" spans="1:16" ht="16.5">
      <c r="A323" s="1">
        <v>322</v>
      </c>
      <c r="B323" s="1" t="s">
        <v>28</v>
      </c>
      <c r="C323" s="1">
        <v>53</v>
      </c>
      <c r="D323" s="2" t="str" cm="1">
        <f t="array" ref="D323">_xlfn.IFS(C323&lt;35, "young", C323&lt;50, "middle age", C323&gt;=50, "old")</f>
        <v>old</v>
      </c>
      <c r="E323" s="1" t="s">
        <v>33</v>
      </c>
      <c r="F323" s="1">
        <v>8.4</v>
      </c>
      <c r="G323" s="1">
        <v>9</v>
      </c>
      <c r="H323" s="1">
        <v>30</v>
      </c>
      <c r="I323" s="1">
        <v>3</v>
      </c>
      <c r="J323" s="1" t="s">
        <v>19</v>
      </c>
      <c r="K323" s="1" t="s">
        <v>20</v>
      </c>
      <c r="L323" s="1">
        <f t="shared" ref="L323:L375" si="10">VALUE(_xlfn.TEXTBEFORE(K323,"/"))</f>
        <v>125</v>
      </c>
      <c r="M323" s="3">
        <f t="shared" ref="M323:M375" si="11">VALUE(_xlfn.TEXTAFTER(K323,"/"))</f>
        <v>80</v>
      </c>
      <c r="N323" s="1">
        <v>65</v>
      </c>
      <c r="O323" s="1">
        <v>5000</v>
      </c>
      <c r="P323" s="1" t="s">
        <v>17</v>
      </c>
    </row>
    <row r="324" spans="1:16" ht="16.5">
      <c r="A324" s="1">
        <v>323</v>
      </c>
      <c r="B324" s="1" t="s">
        <v>28</v>
      </c>
      <c r="C324" s="1">
        <v>53</v>
      </c>
      <c r="D324" s="2" t="str" cm="1">
        <f t="array" ref="D324">_xlfn.IFS(C324&lt;35, "young", C324&lt;50, "middle age", C324&gt;=50, "old")</f>
        <v>old</v>
      </c>
      <c r="E324" s="1" t="s">
        <v>33</v>
      </c>
      <c r="F324" s="1">
        <v>8.4</v>
      </c>
      <c r="G324" s="1">
        <v>9</v>
      </c>
      <c r="H324" s="1">
        <v>30</v>
      </c>
      <c r="I324" s="1">
        <v>3</v>
      </c>
      <c r="J324" s="1" t="s">
        <v>19</v>
      </c>
      <c r="K324" s="1" t="s">
        <v>20</v>
      </c>
      <c r="L324" s="1">
        <f t="shared" si="10"/>
        <v>125</v>
      </c>
      <c r="M324" s="3">
        <f t="shared" si="11"/>
        <v>80</v>
      </c>
      <c r="N324" s="1">
        <v>65</v>
      </c>
      <c r="O324" s="1">
        <v>5000</v>
      </c>
      <c r="P324" s="1" t="s">
        <v>17</v>
      </c>
    </row>
    <row r="325" spans="1:16" ht="16.5">
      <c r="A325" s="1">
        <v>324</v>
      </c>
      <c r="B325" s="1" t="s">
        <v>28</v>
      </c>
      <c r="C325" s="1">
        <v>53</v>
      </c>
      <c r="D325" s="2" t="str" cm="1">
        <f t="array" ref="D325">_xlfn.IFS(C325&lt;35, "young", C325&lt;50, "middle age", C325&gt;=50, "old")</f>
        <v>old</v>
      </c>
      <c r="E325" s="1" t="s">
        <v>33</v>
      </c>
      <c r="F325" s="1">
        <v>8.5</v>
      </c>
      <c r="G325" s="1">
        <v>9</v>
      </c>
      <c r="H325" s="1">
        <v>30</v>
      </c>
      <c r="I325" s="1">
        <v>3</v>
      </c>
      <c r="J325" s="1" t="s">
        <v>19</v>
      </c>
      <c r="K325" s="1" t="s">
        <v>20</v>
      </c>
      <c r="L325" s="1">
        <f t="shared" si="10"/>
        <v>125</v>
      </c>
      <c r="M325" s="3">
        <f t="shared" si="11"/>
        <v>80</v>
      </c>
      <c r="N325" s="1">
        <v>65</v>
      </c>
      <c r="O325" s="1">
        <v>5000</v>
      </c>
      <c r="P325" s="1" t="s">
        <v>17</v>
      </c>
    </row>
    <row r="326" spans="1:16" ht="16.5">
      <c r="A326" s="1">
        <v>325</v>
      </c>
      <c r="B326" s="1" t="s">
        <v>28</v>
      </c>
      <c r="C326" s="1">
        <v>53</v>
      </c>
      <c r="D326" s="2" t="str" cm="1">
        <f t="array" ref="D326">_xlfn.IFS(C326&lt;35, "young", C326&lt;50, "middle age", C326&gt;=50, "old")</f>
        <v>old</v>
      </c>
      <c r="E326" s="1" t="s">
        <v>33</v>
      </c>
      <c r="F326" s="1">
        <v>8.3000000000000007</v>
      </c>
      <c r="G326" s="1">
        <v>9</v>
      </c>
      <c r="H326" s="1">
        <v>30</v>
      </c>
      <c r="I326" s="1">
        <v>3</v>
      </c>
      <c r="J326" s="1" t="s">
        <v>19</v>
      </c>
      <c r="K326" s="1" t="s">
        <v>20</v>
      </c>
      <c r="L326" s="1">
        <f t="shared" si="10"/>
        <v>125</v>
      </c>
      <c r="M326" s="3">
        <f t="shared" si="11"/>
        <v>80</v>
      </c>
      <c r="N326" s="1">
        <v>65</v>
      </c>
      <c r="O326" s="1">
        <v>5000</v>
      </c>
      <c r="P326" s="1" t="s">
        <v>17</v>
      </c>
    </row>
    <row r="327" spans="1:16" ht="16.5">
      <c r="A327" s="1">
        <v>326</v>
      </c>
      <c r="B327" s="1" t="s">
        <v>28</v>
      </c>
      <c r="C327" s="1">
        <v>53</v>
      </c>
      <c r="D327" s="2" t="str" cm="1">
        <f t="array" ref="D327">_xlfn.IFS(C327&lt;35, "young", C327&lt;50, "middle age", C327&gt;=50, "old")</f>
        <v>old</v>
      </c>
      <c r="E327" s="1" t="s">
        <v>33</v>
      </c>
      <c r="F327" s="1">
        <v>8.5</v>
      </c>
      <c r="G327" s="1">
        <v>9</v>
      </c>
      <c r="H327" s="1">
        <v>30</v>
      </c>
      <c r="I327" s="1">
        <v>3</v>
      </c>
      <c r="J327" s="1" t="s">
        <v>19</v>
      </c>
      <c r="K327" s="1" t="s">
        <v>20</v>
      </c>
      <c r="L327" s="1">
        <f t="shared" si="10"/>
        <v>125</v>
      </c>
      <c r="M327" s="3">
        <f t="shared" si="11"/>
        <v>80</v>
      </c>
      <c r="N327" s="1">
        <v>65</v>
      </c>
      <c r="O327" s="1">
        <v>5000</v>
      </c>
      <c r="P327" s="1" t="s">
        <v>17</v>
      </c>
    </row>
    <row r="328" spans="1:16" ht="16.5">
      <c r="A328" s="1">
        <v>327</v>
      </c>
      <c r="B328" s="1" t="s">
        <v>28</v>
      </c>
      <c r="C328" s="1">
        <v>53</v>
      </c>
      <c r="D328" s="2" t="str" cm="1">
        <f t="array" ref="D328">_xlfn.IFS(C328&lt;35, "young", C328&lt;50, "middle age", C328&gt;=50, "old")</f>
        <v>old</v>
      </c>
      <c r="E328" s="1" t="s">
        <v>33</v>
      </c>
      <c r="F328" s="1">
        <v>8.3000000000000007</v>
      </c>
      <c r="G328" s="1">
        <v>9</v>
      </c>
      <c r="H328" s="1">
        <v>30</v>
      </c>
      <c r="I328" s="1">
        <v>3</v>
      </c>
      <c r="J328" s="1" t="s">
        <v>19</v>
      </c>
      <c r="K328" s="1" t="s">
        <v>20</v>
      </c>
      <c r="L328" s="1">
        <f t="shared" si="10"/>
        <v>125</v>
      </c>
      <c r="M328" s="3">
        <f t="shared" si="11"/>
        <v>80</v>
      </c>
      <c r="N328" s="1">
        <v>65</v>
      </c>
      <c r="O328" s="1">
        <v>5000</v>
      </c>
      <c r="P328" s="1" t="s">
        <v>17</v>
      </c>
    </row>
    <row r="329" spans="1:16" ht="16.5">
      <c r="A329" s="1">
        <v>328</v>
      </c>
      <c r="B329" s="1" t="s">
        <v>28</v>
      </c>
      <c r="C329" s="1">
        <v>53</v>
      </c>
      <c r="D329" s="2" t="str" cm="1">
        <f t="array" ref="D329">_xlfn.IFS(C329&lt;35, "young", C329&lt;50, "middle age", C329&gt;=50, "old")</f>
        <v>old</v>
      </c>
      <c r="E329" s="1" t="s">
        <v>33</v>
      </c>
      <c r="F329" s="1">
        <v>8.5</v>
      </c>
      <c r="G329" s="1">
        <v>9</v>
      </c>
      <c r="H329" s="1">
        <v>30</v>
      </c>
      <c r="I329" s="1">
        <v>3</v>
      </c>
      <c r="J329" s="1" t="s">
        <v>19</v>
      </c>
      <c r="K329" s="1" t="s">
        <v>20</v>
      </c>
      <c r="L329" s="1">
        <f t="shared" si="10"/>
        <v>125</v>
      </c>
      <c r="M329" s="3">
        <f t="shared" si="11"/>
        <v>80</v>
      </c>
      <c r="N329" s="1">
        <v>65</v>
      </c>
      <c r="O329" s="1">
        <v>5000</v>
      </c>
      <c r="P329" s="1" t="s">
        <v>17</v>
      </c>
    </row>
    <row r="330" spans="1:16" ht="16.5">
      <c r="A330" s="1">
        <v>329</v>
      </c>
      <c r="B330" s="1" t="s">
        <v>28</v>
      </c>
      <c r="C330" s="1">
        <v>53</v>
      </c>
      <c r="D330" s="2" t="str" cm="1">
        <f t="array" ref="D330">_xlfn.IFS(C330&lt;35, "young", C330&lt;50, "middle age", C330&gt;=50, "old")</f>
        <v>old</v>
      </c>
      <c r="E330" s="1" t="s">
        <v>33</v>
      </c>
      <c r="F330" s="1">
        <v>8.3000000000000007</v>
      </c>
      <c r="G330" s="1">
        <v>9</v>
      </c>
      <c r="H330" s="1">
        <v>30</v>
      </c>
      <c r="I330" s="1">
        <v>3</v>
      </c>
      <c r="J330" s="1" t="s">
        <v>19</v>
      </c>
      <c r="K330" s="1" t="s">
        <v>20</v>
      </c>
      <c r="L330" s="1">
        <f t="shared" si="10"/>
        <v>125</v>
      </c>
      <c r="M330" s="3">
        <f t="shared" si="11"/>
        <v>80</v>
      </c>
      <c r="N330" s="1">
        <v>65</v>
      </c>
      <c r="O330" s="1">
        <v>5000</v>
      </c>
      <c r="P330" s="1" t="s">
        <v>17</v>
      </c>
    </row>
    <row r="331" spans="1:16" ht="16.5">
      <c r="A331" s="1">
        <v>330</v>
      </c>
      <c r="B331" s="1" t="s">
        <v>28</v>
      </c>
      <c r="C331" s="1">
        <v>53</v>
      </c>
      <c r="D331" s="2" t="str" cm="1">
        <f t="array" ref="D331">_xlfn.IFS(C331&lt;35, "young", C331&lt;50, "middle age", C331&gt;=50, "old")</f>
        <v>old</v>
      </c>
      <c r="E331" s="1" t="s">
        <v>33</v>
      </c>
      <c r="F331" s="1">
        <v>8.5</v>
      </c>
      <c r="G331" s="1">
        <v>9</v>
      </c>
      <c r="H331" s="1">
        <v>30</v>
      </c>
      <c r="I331" s="1">
        <v>3</v>
      </c>
      <c r="J331" s="1" t="s">
        <v>19</v>
      </c>
      <c r="K331" s="1" t="s">
        <v>20</v>
      </c>
      <c r="L331" s="1">
        <f t="shared" si="10"/>
        <v>125</v>
      </c>
      <c r="M331" s="3">
        <f t="shared" si="11"/>
        <v>80</v>
      </c>
      <c r="N331" s="1">
        <v>65</v>
      </c>
      <c r="O331" s="1">
        <v>5000</v>
      </c>
      <c r="P331" s="1" t="s">
        <v>17</v>
      </c>
    </row>
    <row r="332" spans="1:16" ht="16.5">
      <c r="A332" s="1">
        <v>331</v>
      </c>
      <c r="B332" s="1" t="s">
        <v>28</v>
      </c>
      <c r="C332" s="1">
        <v>53</v>
      </c>
      <c r="D332" s="2" t="str" cm="1">
        <f t="array" ref="D332">_xlfn.IFS(C332&lt;35, "young", C332&lt;50, "middle age", C332&gt;=50, "old")</f>
        <v>old</v>
      </c>
      <c r="E332" s="1" t="s">
        <v>33</v>
      </c>
      <c r="F332" s="1">
        <v>8.5</v>
      </c>
      <c r="G332" s="1">
        <v>9</v>
      </c>
      <c r="H332" s="1">
        <v>30</v>
      </c>
      <c r="I332" s="1">
        <v>3</v>
      </c>
      <c r="J332" s="1" t="s">
        <v>19</v>
      </c>
      <c r="K332" s="1" t="s">
        <v>20</v>
      </c>
      <c r="L332" s="1">
        <f t="shared" si="10"/>
        <v>125</v>
      </c>
      <c r="M332" s="3">
        <f t="shared" si="11"/>
        <v>80</v>
      </c>
      <c r="N332" s="1">
        <v>65</v>
      </c>
      <c r="O332" s="1">
        <v>5000</v>
      </c>
      <c r="P332" s="1" t="s">
        <v>17</v>
      </c>
    </row>
    <row r="333" spans="1:16" ht="16.5">
      <c r="A333" s="1">
        <v>332</v>
      </c>
      <c r="B333" s="1" t="s">
        <v>28</v>
      </c>
      <c r="C333" s="1">
        <v>53</v>
      </c>
      <c r="D333" s="2" t="str" cm="1">
        <f t="array" ref="D333">_xlfn.IFS(C333&lt;35, "young", C333&lt;50, "middle age", C333&gt;=50, "old")</f>
        <v>old</v>
      </c>
      <c r="E333" s="1" t="s">
        <v>33</v>
      </c>
      <c r="F333" s="1">
        <v>8.4</v>
      </c>
      <c r="G333" s="1">
        <v>9</v>
      </c>
      <c r="H333" s="1">
        <v>30</v>
      </c>
      <c r="I333" s="1">
        <v>3</v>
      </c>
      <c r="J333" s="1" t="s">
        <v>19</v>
      </c>
      <c r="K333" s="1" t="s">
        <v>20</v>
      </c>
      <c r="L333" s="1">
        <f t="shared" si="10"/>
        <v>125</v>
      </c>
      <c r="M333" s="3">
        <f t="shared" si="11"/>
        <v>80</v>
      </c>
      <c r="N333" s="1">
        <v>65</v>
      </c>
      <c r="O333" s="1">
        <v>5000</v>
      </c>
      <c r="P333" s="1" t="s">
        <v>17</v>
      </c>
    </row>
    <row r="334" spans="1:16" ht="16.5">
      <c r="A334" s="1">
        <v>333</v>
      </c>
      <c r="B334" s="1" t="s">
        <v>28</v>
      </c>
      <c r="C334" s="1">
        <v>54</v>
      </c>
      <c r="D334" s="2" t="str" cm="1">
        <f t="array" ref="D334">_xlfn.IFS(C334&lt;35, "young", C334&lt;50, "middle age", C334&gt;=50, "old")</f>
        <v>old</v>
      </c>
      <c r="E334" s="1" t="s">
        <v>33</v>
      </c>
      <c r="F334" s="1">
        <v>8.4</v>
      </c>
      <c r="G334" s="1">
        <v>9</v>
      </c>
      <c r="H334" s="1">
        <v>30</v>
      </c>
      <c r="I334" s="1">
        <v>3</v>
      </c>
      <c r="J334" s="1" t="s">
        <v>19</v>
      </c>
      <c r="K334" s="1" t="s">
        <v>20</v>
      </c>
      <c r="L334" s="1">
        <f t="shared" si="10"/>
        <v>125</v>
      </c>
      <c r="M334" s="3">
        <f t="shared" si="11"/>
        <v>80</v>
      </c>
      <c r="N334" s="1">
        <v>65</v>
      </c>
      <c r="O334" s="1">
        <v>5000</v>
      </c>
      <c r="P334" s="1" t="s">
        <v>17</v>
      </c>
    </row>
    <row r="335" spans="1:16" ht="16.5">
      <c r="A335" s="1">
        <v>334</v>
      </c>
      <c r="B335" s="1" t="s">
        <v>28</v>
      </c>
      <c r="C335" s="1">
        <v>54</v>
      </c>
      <c r="D335" s="2" t="str" cm="1">
        <f t="array" ref="D335">_xlfn.IFS(C335&lt;35, "young", C335&lt;50, "middle age", C335&gt;=50, "old")</f>
        <v>old</v>
      </c>
      <c r="E335" s="1" t="s">
        <v>33</v>
      </c>
      <c r="F335" s="1">
        <v>8.4</v>
      </c>
      <c r="G335" s="1">
        <v>9</v>
      </c>
      <c r="H335" s="1">
        <v>30</v>
      </c>
      <c r="I335" s="1">
        <v>3</v>
      </c>
      <c r="J335" s="1" t="s">
        <v>19</v>
      </c>
      <c r="K335" s="1" t="s">
        <v>20</v>
      </c>
      <c r="L335" s="1">
        <f t="shared" si="10"/>
        <v>125</v>
      </c>
      <c r="M335" s="3">
        <f t="shared" si="11"/>
        <v>80</v>
      </c>
      <c r="N335" s="1">
        <v>65</v>
      </c>
      <c r="O335" s="1">
        <v>5000</v>
      </c>
      <c r="P335" s="1" t="s">
        <v>17</v>
      </c>
    </row>
    <row r="336" spans="1:16" ht="16.5">
      <c r="A336" s="1">
        <v>335</v>
      </c>
      <c r="B336" s="1" t="s">
        <v>28</v>
      </c>
      <c r="C336" s="1">
        <v>54</v>
      </c>
      <c r="D336" s="2" t="str" cm="1">
        <f t="array" ref="D336">_xlfn.IFS(C336&lt;35, "young", C336&lt;50, "middle age", C336&gt;=50, "old")</f>
        <v>old</v>
      </c>
      <c r="E336" s="1" t="s">
        <v>33</v>
      </c>
      <c r="F336" s="1">
        <v>8.4</v>
      </c>
      <c r="G336" s="1">
        <v>9</v>
      </c>
      <c r="H336" s="1">
        <v>30</v>
      </c>
      <c r="I336" s="1">
        <v>3</v>
      </c>
      <c r="J336" s="1" t="s">
        <v>19</v>
      </c>
      <c r="K336" s="1" t="s">
        <v>20</v>
      </c>
      <c r="L336" s="1">
        <f t="shared" si="10"/>
        <v>125</v>
      </c>
      <c r="M336" s="3">
        <f t="shared" si="11"/>
        <v>80</v>
      </c>
      <c r="N336" s="1">
        <v>65</v>
      </c>
      <c r="O336" s="1">
        <v>5000</v>
      </c>
      <c r="P336" s="1" t="s">
        <v>17</v>
      </c>
    </row>
    <row r="337" spans="1:16" ht="16.5">
      <c r="A337" s="1">
        <v>336</v>
      </c>
      <c r="B337" s="1" t="s">
        <v>28</v>
      </c>
      <c r="C337" s="1">
        <v>54</v>
      </c>
      <c r="D337" s="2" t="str" cm="1">
        <f t="array" ref="D337">_xlfn.IFS(C337&lt;35, "young", C337&lt;50, "middle age", C337&gt;=50, "old")</f>
        <v>old</v>
      </c>
      <c r="E337" s="1" t="s">
        <v>33</v>
      </c>
      <c r="F337" s="1">
        <v>8.4</v>
      </c>
      <c r="G337" s="1">
        <v>9</v>
      </c>
      <c r="H337" s="1">
        <v>30</v>
      </c>
      <c r="I337" s="1">
        <v>3</v>
      </c>
      <c r="J337" s="1" t="s">
        <v>19</v>
      </c>
      <c r="K337" s="1" t="s">
        <v>20</v>
      </c>
      <c r="L337" s="1">
        <f t="shared" si="10"/>
        <v>125</v>
      </c>
      <c r="M337" s="3">
        <f t="shared" si="11"/>
        <v>80</v>
      </c>
      <c r="N337" s="1">
        <v>65</v>
      </c>
      <c r="O337" s="1">
        <v>5000</v>
      </c>
      <c r="P337" s="1" t="s">
        <v>17</v>
      </c>
    </row>
    <row r="338" spans="1:16" ht="16.5">
      <c r="A338" s="1">
        <v>337</v>
      </c>
      <c r="B338" s="1" t="s">
        <v>28</v>
      </c>
      <c r="C338" s="1">
        <v>54</v>
      </c>
      <c r="D338" s="2" t="str" cm="1">
        <f t="array" ref="D338">_xlfn.IFS(C338&lt;35, "young", C338&lt;50, "middle age", C338&gt;=50, "old")</f>
        <v>old</v>
      </c>
      <c r="E338" s="1" t="s">
        <v>33</v>
      </c>
      <c r="F338" s="1">
        <v>8.4</v>
      </c>
      <c r="G338" s="1">
        <v>9</v>
      </c>
      <c r="H338" s="1">
        <v>30</v>
      </c>
      <c r="I338" s="1">
        <v>3</v>
      </c>
      <c r="J338" s="1" t="s">
        <v>19</v>
      </c>
      <c r="K338" s="1" t="s">
        <v>20</v>
      </c>
      <c r="L338" s="1">
        <f t="shared" si="10"/>
        <v>125</v>
      </c>
      <c r="M338" s="3">
        <f t="shared" si="11"/>
        <v>80</v>
      </c>
      <c r="N338" s="1">
        <v>65</v>
      </c>
      <c r="O338" s="1">
        <v>5000</v>
      </c>
      <c r="P338" s="1" t="s">
        <v>17</v>
      </c>
    </row>
    <row r="339" spans="1:16" ht="16.5">
      <c r="A339" s="1">
        <v>338</v>
      </c>
      <c r="B339" s="1" t="s">
        <v>28</v>
      </c>
      <c r="C339" s="1">
        <v>54</v>
      </c>
      <c r="D339" s="2" t="str" cm="1">
        <f t="array" ref="D339">_xlfn.IFS(C339&lt;35, "young", C339&lt;50, "middle age", C339&gt;=50, "old")</f>
        <v>old</v>
      </c>
      <c r="E339" s="1" t="s">
        <v>33</v>
      </c>
      <c r="F339" s="1">
        <v>8.4</v>
      </c>
      <c r="G339" s="1">
        <v>9</v>
      </c>
      <c r="H339" s="1">
        <v>30</v>
      </c>
      <c r="I339" s="1">
        <v>3</v>
      </c>
      <c r="J339" s="1" t="s">
        <v>19</v>
      </c>
      <c r="K339" s="1" t="s">
        <v>20</v>
      </c>
      <c r="L339" s="1">
        <f t="shared" si="10"/>
        <v>125</v>
      </c>
      <c r="M339" s="3">
        <f t="shared" si="11"/>
        <v>80</v>
      </c>
      <c r="N339" s="1">
        <v>65</v>
      </c>
      <c r="O339" s="1">
        <v>5000</v>
      </c>
      <c r="P339" s="1" t="s">
        <v>17</v>
      </c>
    </row>
    <row r="340" spans="1:16" ht="16.5">
      <c r="A340" s="1">
        <v>339</v>
      </c>
      <c r="B340" s="1" t="s">
        <v>28</v>
      </c>
      <c r="C340" s="1">
        <v>54</v>
      </c>
      <c r="D340" s="2" t="str" cm="1">
        <f t="array" ref="D340">_xlfn.IFS(C340&lt;35, "young", C340&lt;50, "middle age", C340&gt;=50, "old")</f>
        <v>old</v>
      </c>
      <c r="E340" s="1" t="s">
        <v>33</v>
      </c>
      <c r="F340" s="1">
        <v>8.5</v>
      </c>
      <c r="G340" s="1">
        <v>9</v>
      </c>
      <c r="H340" s="1">
        <v>30</v>
      </c>
      <c r="I340" s="1">
        <v>3</v>
      </c>
      <c r="J340" s="1" t="s">
        <v>19</v>
      </c>
      <c r="K340" s="1" t="s">
        <v>20</v>
      </c>
      <c r="L340" s="1">
        <f t="shared" si="10"/>
        <v>125</v>
      </c>
      <c r="M340" s="3">
        <f t="shared" si="11"/>
        <v>80</v>
      </c>
      <c r="N340" s="1">
        <v>65</v>
      </c>
      <c r="O340" s="1">
        <v>5000</v>
      </c>
      <c r="P340" s="1" t="s">
        <v>17</v>
      </c>
    </row>
    <row r="341" spans="1:16" ht="16.5">
      <c r="A341" s="1">
        <v>340</v>
      </c>
      <c r="B341" s="1" t="s">
        <v>28</v>
      </c>
      <c r="C341" s="1">
        <v>55</v>
      </c>
      <c r="D341" s="2" t="str" cm="1">
        <f t="array" ref="D341">_xlfn.IFS(C341&lt;35, "young", C341&lt;50, "middle age", C341&gt;=50, "old")</f>
        <v>old</v>
      </c>
      <c r="E341" s="1" t="s">
        <v>29</v>
      </c>
      <c r="F341" s="1">
        <v>8.1</v>
      </c>
      <c r="G341" s="1">
        <v>9</v>
      </c>
      <c r="H341" s="1">
        <v>75</v>
      </c>
      <c r="I341" s="1">
        <v>4</v>
      </c>
      <c r="J341" s="1" t="s">
        <v>15</v>
      </c>
      <c r="K341" s="1" t="s">
        <v>54</v>
      </c>
      <c r="L341" s="1">
        <f t="shared" si="10"/>
        <v>140</v>
      </c>
      <c r="M341" s="3">
        <f t="shared" si="11"/>
        <v>95</v>
      </c>
      <c r="N341" s="1">
        <v>72</v>
      </c>
      <c r="O341" s="1">
        <v>5000</v>
      </c>
      <c r="P341" s="1" t="s">
        <v>24</v>
      </c>
    </row>
    <row r="342" spans="1:16" ht="16.5">
      <c r="A342" s="1">
        <v>341</v>
      </c>
      <c r="B342" s="1" t="s">
        <v>28</v>
      </c>
      <c r="C342" s="1">
        <v>55</v>
      </c>
      <c r="D342" s="2" t="str" cm="1">
        <f t="array" ref="D342">_xlfn.IFS(C342&lt;35, "young", C342&lt;50, "middle age", C342&gt;=50, "old")</f>
        <v>old</v>
      </c>
      <c r="E342" s="1" t="s">
        <v>29</v>
      </c>
      <c r="F342" s="1">
        <v>8.1</v>
      </c>
      <c r="G342" s="1">
        <v>9</v>
      </c>
      <c r="H342" s="1">
        <v>75</v>
      </c>
      <c r="I342" s="1">
        <v>4</v>
      </c>
      <c r="J342" s="1" t="s">
        <v>15</v>
      </c>
      <c r="K342" s="1" t="s">
        <v>54</v>
      </c>
      <c r="L342" s="1">
        <f t="shared" si="10"/>
        <v>140</v>
      </c>
      <c r="M342" s="3">
        <f t="shared" si="11"/>
        <v>95</v>
      </c>
      <c r="N342" s="1">
        <v>72</v>
      </c>
      <c r="O342" s="1">
        <v>5000</v>
      </c>
      <c r="P342" s="1" t="s">
        <v>24</v>
      </c>
    </row>
    <row r="343" spans="1:16" ht="16.5">
      <c r="A343" s="1">
        <v>342</v>
      </c>
      <c r="B343" s="1" t="s">
        <v>28</v>
      </c>
      <c r="C343" s="1">
        <v>56</v>
      </c>
      <c r="D343" s="2" t="str" cm="1">
        <f t="array" ref="D343">_xlfn.IFS(C343&lt;35, "young", C343&lt;50, "middle age", C343&gt;=50, "old")</f>
        <v>old</v>
      </c>
      <c r="E343" s="1" t="s">
        <v>18</v>
      </c>
      <c r="F343" s="1">
        <v>8.1999999999999993</v>
      </c>
      <c r="G343" s="1">
        <v>9</v>
      </c>
      <c r="H343" s="1">
        <v>90</v>
      </c>
      <c r="I343" s="1">
        <v>3</v>
      </c>
      <c r="J343" s="1" t="s">
        <v>19</v>
      </c>
      <c r="K343" s="1" t="s">
        <v>56</v>
      </c>
      <c r="L343" s="1">
        <f t="shared" si="10"/>
        <v>118</v>
      </c>
      <c r="M343" s="3">
        <f t="shared" si="11"/>
        <v>75</v>
      </c>
      <c r="N343" s="1">
        <v>65</v>
      </c>
      <c r="O343" s="1">
        <v>10000</v>
      </c>
      <c r="P343" s="1" t="s">
        <v>17</v>
      </c>
    </row>
    <row r="344" spans="1:16" ht="16.5">
      <c r="A344" s="1">
        <v>343</v>
      </c>
      <c r="B344" s="1" t="s">
        <v>28</v>
      </c>
      <c r="C344" s="1">
        <v>56</v>
      </c>
      <c r="D344" s="2" t="str" cm="1">
        <f t="array" ref="D344">_xlfn.IFS(C344&lt;35, "young", C344&lt;50, "middle age", C344&gt;=50, "old")</f>
        <v>old</v>
      </c>
      <c r="E344" s="1" t="s">
        <v>18</v>
      </c>
      <c r="F344" s="1">
        <v>8.1999999999999993</v>
      </c>
      <c r="G344" s="1">
        <v>9</v>
      </c>
      <c r="H344" s="1">
        <v>90</v>
      </c>
      <c r="I344" s="1">
        <v>3</v>
      </c>
      <c r="J344" s="1" t="s">
        <v>19</v>
      </c>
      <c r="K344" s="1" t="s">
        <v>56</v>
      </c>
      <c r="L344" s="1">
        <f t="shared" si="10"/>
        <v>118</v>
      </c>
      <c r="M344" s="3">
        <f t="shared" si="11"/>
        <v>75</v>
      </c>
      <c r="N344" s="1">
        <v>65</v>
      </c>
      <c r="O344" s="1">
        <v>10000</v>
      </c>
      <c r="P344" s="1" t="s">
        <v>17</v>
      </c>
    </row>
    <row r="345" spans="1:16" ht="16.5">
      <c r="A345" s="1">
        <v>344</v>
      </c>
      <c r="B345" s="1" t="s">
        <v>28</v>
      </c>
      <c r="C345" s="1">
        <v>57</v>
      </c>
      <c r="D345" s="2" t="str" cm="1">
        <f t="array" ref="D345">_xlfn.IFS(C345&lt;35, "young", C345&lt;50, "middle age", C345&gt;=50, "old")</f>
        <v>old</v>
      </c>
      <c r="E345" s="1" t="s">
        <v>29</v>
      </c>
      <c r="F345" s="1">
        <v>8.1</v>
      </c>
      <c r="G345" s="1">
        <v>9</v>
      </c>
      <c r="H345" s="1">
        <v>75</v>
      </c>
      <c r="I345" s="1">
        <v>3</v>
      </c>
      <c r="J345" s="1" t="s">
        <v>15</v>
      </c>
      <c r="K345" s="1" t="s">
        <v>54</v>
      </c>
      <c r="L345" s="1">
        <f t="shared" si="10"/>
        <v>140</v>
      </c>
      <c r="M345" s="3">
        <f t="shared" si="11"/>
        <v>95</v>
      </c>
      <c r="N345" s="1">
        <v>68</v>
      </c>
      <c r="O345" s="1">
        <v>7000</v>
      </c>
      <c r="P345" s="1" t="s">
        <v>17</v>
      </c>
    </row>
    <row r="346" spans="1:16" ht="16.5">
      <c r="A346" s="1">
        <v>345</v>
      </c>
      <c r="B346" s="1" t="s">
        <v>28</v>
      </c>
      <c r="C346" s="1">
        <v>57</v>
      </c>
      <c r="D346" s="2" t="str" cm="1">
        <f t="array" ref="D346">_xlfn.IFS(C346&lt;35, "young", C346&lt;50, "middle age", C346&gt;=50, "old")</f>
        <v>old</v>
      </c>
      <c r="E346" s="1" t="s">
        <v>29</v>
      </c>
      <c r="F346" s="1">
        <v>8.1999999999999993</v>
      </c>
      <c r="G346" s="1">
        <v>9</v>
      </c>
      <c r="H346" s="1">
        <v>75</v>
      </c>
      <c r="I346" s="1">
        <v>3</v>
      </c>
      <c r="J346" s="1" t="s">
        <v>15</v>
      </c>
      <c r="K346" s="1" t="s">
        <v>54</v>
      </c>
      <c r="L346" s="1">
        <f t="shared" si="10"/>
        <v>140</v>
      </c>
      <c r="M346" s="3">
        <f t="shared" si="11"/>
        <v>95</v>
      </c>
      <c r="N346" s="1">
        <v>68</v>
      </c>
      <c r="O346" s="1">
        <v>7000</v>
      </c>
      <c r="P346" s="1" t="s">
        <v>24</v>
      </c>
    </row>
    <row r="347" spans="1:16" ht="16.5">
      <c r="A347" s="1">
        <v>346</v>
      </c>
      <c r="B347" s="1" t="s">
        <v>28</v>
      </c>
      <c r="C347" s="1">
        <v>57</v>
      </c>
      <c r="D347" s="2" t="str" cm="1">
        <f t="array" ref="D347">_xlfn.IFS(C347&lt;35, "young", C347&lt;50, "middle age", C347&gt;=50, "old")</f>
        <v>old</v>
      </c>
      <c r="E347" s="1" t="s">
        <v>29</v>
      </c>
      <c r="F347" s="1">
        <v>8.1999999999999993</v>
      </c>
      <c r="G347" s="1">
        <v>9</v>
      </c>
      <c r="H347" s="1">
        <v>75</v>
      </c>
      <c r="I347" s="1">
        <v>3</v>
      </c>
      <c r="J347" s="1" t="s">
        <v>15</v>
      </c>
      <c r="K347" s="1" t="s">
        <v>54</v>
      </c>
      <c r="L347" s="1">
        <f t="shared" si="10"/>
        <v>140</v>
      </c>
      <c r="M347" s="3">
        <f t="shared" si="11"/>
        <v>95</v>
      </c>
      <c r="N347" s="1">
        <v>68</v>
      </c>
      <c r="O347" s="1">
        <v>7000</v>
      </c>
      <c r="P347" s="1" t="s">
        <v>24</v>
      </c>
    </row>
    <row r="348" spans="1:16" ht="16.5">
      <c r="A348" s="1">
        <v>347</v>
      </c>
      <c r="B348" s="1" t="s">
        <v>28</v>
      </c>
      <c r="C348" s="1">
        <v>57</v>
      </c>
      <c r="D348" s="2" t="str" cm="1">
        <f t="array" ref="D348">_xlfn.IFS(C348&lt;35, "young", C348&lt;50, "middle age", C348&gt;=50, "old")</f>
        <v>old</v>
      </c>
      <c r="E348" s="1" t="s">
        <v>29</v>
      </c>
      <c r="F348" s="1">
        <v>8.1999999999999993</v>
      </c>
      <c r="G348" s="1">
        <v>9</v>
      </c>
      <c r="H348" s="1">
        <v>75</v>
      </c>
      <c r="I348" s="1">
        <v>3</v>
      </c>
      <c r="J348" s="1" t="s">
        <v>15</v>
      </c>
      <c r="K348" s="1" t="s">
        <v>54</v>
      </c>
      <c r="L348" s="1">
        <f t="shared" si="10"/>
        <v>140</v>
      </c>
      <c r="M348" s="3">
        <f t="shared" si="11"/>
        <v>95</v>
      </c>
      <c r="N348" s="1">
        <v>68</v>
      </c>
      <c r="O348" s="1">
        <v>7000</v>
      </c>
      <c r="P348" s="1" t="s">
        <v>24</v>
      </c>
    </row>
    <row r="349" spans="1:16" ht="16.5">
      <c r="A349" s="1">
        <v>348</v>
      </c>
      <c r="B349" s="1" t="s">
        <v>28</v>
      </c>
      <c r="C349" s="1">
        <v>57</v>
      </c>
      <c r="D349" s="2" t="str" cm="1">
        <f t="array" ref="D349">_xlfn.IFS(C349&lt;35, "young", C349&lt;50, "middle age", C349&gt;=50, "old")</f>
        <v>old</v>
      </c>
      <c r="E349" s="1" t="s">
        <v>29</v>
      </c>
      <c r="F349" s="1">
        <v>8.1999999999999993</v>
      </c>
      <c r="G349" s="1">
        <v>9</v>
      </c>
      <c r="H349" s="1">
        <v>75</v>
      </c>
      <c r="I349" s="1">
        <v>3</v>
      </c>
      <c r="J349" s="1" t="s">
        <v>15</v>
      </c>
      <c r="K349" s="1" t="s">
        <v>54</v>
      </c>
      <c r="L349" s="1">
        <f t="shared" si="10"/>
        <v>140</v>
      </c>
      <c r="M349" s="3">
        <f t="shared" si="11"/>
        <v>95</v>
      </c>
      <c r="N349" s="1">
        <v>68</v>
      </c>
      <c r="O349" s="1">
        <v>7000</v>
      </c>
      <c r="P349" s="1" t="s">
        <v>24</v>
      </c>
    </row>
    <row r="350" spans="1:16" ht="16.5">
      <c r="A350" s="1">
        <v>349</v>
      </c>
      <c r="B350" s="1" t="s">
        <v>28</v>
      </c>
      <c r="C350" s="1">
        <v>57</v>
      </c>
      <c r="D350" s="2" t="str" cm="1">
        <f t="array" ref="D350">_xlfn.IFS(C350&lt;35, "young", C350&lt;50, "middle age", C350&gt;=50, "old")</f>
        <v>old</v>
      </c>
      <c r="E350" s="1" t="s">
        <v>29</v>
      </c>
      <c r="F350" s="1">
        <v>8.1999999999999993</v>
      </c>
      <c r="G350" s="1">
        <v>9</v>
      </c>
      <c r="H350" s="1">
        <v>75</v>
      </c>
      <c r="I350" s="1">
        <v>3</v>
      </c>
      <c r="J350" s="1" t="s">
        <v>15</v>
      </c>
      <c r="K350" s="1" t="s">
        <v>54</v>
      </c>
      <c r="L350" s="1">
        <f t="shared" si="10"/>
        <v>140</v>
      </c>
      <c r="M350" s="3">
        <f t="shared" si="11"/>
        <v>95</v>
      </c>
      <c r="N350" s="1">
        <v>68</v>
      </c>
      <c r="O350" s="1">
        <v>7000</v>
      </c>
      <c r="P350" s="1" t="s">
        <v>24</v>
      </c>
    </row>
    <row r="351" spans="1:16" ht="16.5">
      <c r="A351" s="1">
        <v>350</v>
      </c>
      <c r="B351" s="1" t="s">
        <v>28</v>
      </c>
      <c r="C351" s="1">
        <v>57</v>
      </c>
      <c r="D351" s="2" t="str" cm="1">
        <f t="array" ref="D351">_xlfn.IFS(C351&lt;35, "young", C351&lt;50, "middle age", C351&gt;=50, "old")</f>
        <v>old</v>
      </c>
      <c r="E351" s="1" t="s">
        <v>29</v>
      </c>
      <c r="F351" s="1">
        <v>8.1</v>
      </c>
      <c r="G351" s="1">
        <v>9</v>
      </c>
      <c r="H351" s="1">
        <v>75</v>
      </c>
      <c r="I351" s="1">
        <v>3</v>
      </c>
      <c r="J351" s="1" t="s">
        <v>15</v>
      </c>
      <c r="K351" s="1" t="s">
        <v>54</v>
      </c>
      <c r="L351" s="1">
        <f t="shared" si="10"/>
        <v>140</v>
      </c>
      <c r="M351" s="3">
        <f t="shared" si="11"/>
        <v>95</v>
      </c>
      <c r="N351" s="1">
        <v>68</v>
      </c>
      <c r="O351" s="1">
        <v>7000</v>
      </c>
      <c r="P351" s="1" t="s">
        <v>24</v>
      </c>
    </row>
    <row r="352" spans="1:16" ht="16.5">
      <c r="A352" s="1">
        <v>351</v>
      </c>
      <c r="B352" s="1" t="s">
        <v>28</v>
      </c>
      <c r="C352" s="1">
        <v>57</v>
      </c>
      <c r="D352" s="2" t="str" cm="1">
        <f t="array" ref="D352">_xlfn.IFS(C352&lt;35, "young", C352&lt;50, "middle age", C352&gt;=50, "old")</f>
        <v>old</v>
      </c>
      <c r="E352" s="1" t="s">
        <v>29</v>
      </c>
      <c r="F352" s="1">
        <v>8.1</v>
      </c>
      <c r="G352" s="1">
        <v>9</v>
      </c>
      <c r="H352" s="1">
        <v>75</v>
      </c>
      <c r="I352" s="1">
        <v>3</v>
      </c>
      <c r="J352" s="1" t="s">
        <v>15</v>
      </c>
      <c r="K352" s="1" t="s">
        <v>54</v>
      </c>
      <c r="L352" s="1">
        <f t="shared" si="10"/>
        <v>140</v>
      </c>
      <c r="M352" s="3">
        <f t="shared" si="11"/>
        <v>95</v>
      </c>
      <c r="N352" s="1">
        <v>68</v>
      </c>
      <c r="O352" s="1">
        <v>7000</v>
      </c>
      <c r="P352" s="1" t="s">
        <v>24</v>
      </c>
    </row>
    <row r="353" spans="1:16" ht="16.5">
      <c r="A353" s="1">
        <v>352</v>
      </c>
      <c r="B353" s="1" t="s">
        <v>28</v>
      </c>
      <c r="C353" s="1">
        <v>57</v>
      </c>
      <c r="D353" s="2" t="str" cm="1">
        <f t="array" ref="D353">_xlfn.IFS(C353&lt;35, "young", C353&lt;50, "middle age", C353&gt;=50, "old")</f>
        <v>old</v>
      </c>
      <c r="E353" s="1" t="s">
        <v>29</v>
      </c>
      <c r="F353" s="1">
        <v>8.1</v>
      </c>
      <c r="G353" s="1">
        <v>9</v>
      </c>
      <c r="H353" s="1">
        <v>75</v>
      </c>
      <c r="I353" s="1">
        <v>3</v>
      </c>
      <c r="J353" s="1" t="s">
        <v>15</v>
      </c>
      <c r="K353" s="1" t="s">
        <v>54</v>
      </c>
      <c r="L353" s="1">
        <f t="shared" si="10"/>
        <v>140</v>
      </c>
      <c r="M353" s="3">
        <f t="shared" si="11"/>
        <v>95</v>
      </c>
      <c r="N353" s="1">
        <v>68</v>
      </c>
      <c r="O353" s="1">
        <v>7000</v>
      </c>
      <c r="P353" s="1" t="s">
        <v>24</v>
      </c>
    </row>
    <row r="354" spans="1:16" ht="16.5">
      <c r="A354" s="1">
        <v>353</v>
      </c>
      <c r="B354" s="1" t="s">
        <v>28</v>
      </c>
      <c r="C354" s="1">
        <v>58</v>
      </c>
      <c r="D354" s="2" t="str" cm="1">
        <f t="array" ref="D354">_xlfn.IFS(C354&lt;35, "young", C354&lt;50, "middle age", C354&gt;=50, "old")</f>
        <v>old</v>
      </c>
      <c r="E354" s="1" t="s">
        <v>29</v>
      </c>
      <c r="F354" s="1">
        <v>8</v>
      </c>
      <c r="G354" s="1">
        <v>9</v>
      </c>
      <c r="H354" s="1">
        <v>75</v>
      </c>
      <c r="I354" s="1">
        <v>3</v>
      </c>
      <c r="J354" s="1" t="s">
        <v>15</v>
      </c>
      <c r="K354" s="1" t="s">
        <v>54</v>
      </c>
      <c r="L354" s="1">
        <f t="shared" si="10"/>
        <v>140</v>
      </c>
      <c r="M354" s="3">
        <f t="shared" si="11"/>
        <v>95</v>
      </c>
      <c r="N354" s="1">
        <v>68</v>
      </c>
      <c r="O354" s="1">
        <v>7000</v>
      </c>
      <c r="P354" s="1" t="s">
        <v>24</v>
      </c>
    </row>
    <row r="355" spans="1:16" ht="16.5">
      <c r="A355" s="1">
        <v>354</v>
      </c>
      <c r="B355" s="1" t="s">
        <v>28</v>
      </c>
      <c r="C355" s="1">
        <v>58</v>
      </c>
      <c r="D355" s="2" t="str" cm="1">
        <f t="array" ref="D355">_xlfn.IFS(C355&lt;35, "young", C355&lt;50, "middle age", C355&gt;=50, "old")</f>
        <v>old</v>
      </c>
      <c r="E355" s="1" t="s">
        <v>29</v>
      </c>
      <c r="F355" s="1">
        <v>8</v>
      </c>
      <c r="G355" s="1">
        <v>9</v>
      </c>
      <c r="H355" s="1">
        <v>75</v>
      </c>
      <c r="I355" s="1">
        <v>3</v>
      </c>
      <c r="J355" s="1" t="s">
        <v>15</v>
      </c>
      <c r="K355" s="1" t="s">
        <v>54</v>
      </c>
      <c r="L355" s="1">
        <f t="shared" si="10"/>
        <v>140</v>
      </c>
      <c r="M355" s="3">
        <f t="shared" si="11"/>
        <v>95</v>
      </c>
      <c r="N355" s="1">
        <v>68</v>
      </c>
      <c r="O355" s="1">
        <v>7000</v>
      </c>
      <c r="P355" s="1" t="s">
        <v>24</v>
      </c>
    </row>
    <row r="356" spans="1:16" ht="16.5">
      <c r="A356" s="1">
        <v>355</v>
      </c>
      <c r="B356" s="1" t="s">
        <v>28</v>
      </c>
      <c r="C356" s="1">
        <v>58</v>
      </c>
      <c r="D356" s="2" t="str" cm="1">
        <f t="array" ref="D356">_xlfn.IFS(C356&lt;35, "young", C356&lt;50, "middle age", C356&gt;=50, "old")</f>
        <v>old</v>
      </c>
      <c r="E356" s="1" t="s">
        <v>29</v>
      </c>
      <c r="F356" s="1">
        <v>8</v>
      </c>
      <c r="G356" s="1">
        <v>9</v>
      </c>
      <c r="H356" s="1">
        <v>75</v>
      </c>
      <c r="I356" s="1">
        <v>3</v>
      </c>
      <c r="J356" s="1" t="s">
        <v>15</v>
      </c>
      <c r="K356" s="1" t="s">
        <v>54</v>
      </c>
      <c r="L356" s="1">
        <f t="shared" si="10"/>
        <v>140</v>
      </c>
      <c r="M356" s="3">
        <f t="shared" si="11"/>
        <v>95</v>
      </c>
      <c r="N356" s="1">
        <v>68</v>
      </c>
      <c r="O356" s="1">
        <v>7000</v>
      </c>
      <c r="P356" s="1" t="s">
        <v>24</v>
      </c>
    </row>
    <row r="357" spans="1:16" ht="16.5">
      <c r="A357" s="1">
        <v>356</v>
      </c>
      <c r="B357" s="1" t="s">
        <v>28</v>
      </c>
      <c r="C357" s="1">
        <v>58</v>
      </c>
      <c r="D357" s="2" t="str" cm="1">
        <f t="array" ref="D357">_xlfn.IFS(C357&lt;35, "young", C357&lt;50, "middle age", C357&gt;=50, "old")</f>
        <v>old</v>
      </c>
      <c r="E357" s="1" t="s">
        <v>29</v>
      </c>
      <c r="F357" s="1">
        <v>8</v>
      </c>
      <c r="G357" s="1">
        <v>9</v>
      </c>
      <c r="H357" s="1">
        <v>75</v>
      </c>
      <c r="I357" s="1">
        <v>3</v>
      </c>
      <c r="J357" s="1" t="s">
        <v>15</v>
      </c>
      <c r="K357" s="1" t="s">
        <v>54</v>
      </c>
      <c r="L357" s="1">
        <f t="shared" si="10"/>
        <v>140</v>
      </c>
      <c r="M357" s="3">
        <f t="shared" si="11"/>
        <v>95</v>
      </c>
      <c r="N357" s="1">
        <v>68</v>
      </c>
      <c r="O357" s="1">
        <v>7000</v>
      </c>
      <c r="P357" s="1" t="s">
        <v>24</v>
      </c>
    </row>
    <row r="358" spans="1:16" ht="16.5">
      <c r="A358" s="1">
        <v>357</v>
      </c>
      <c r="B358" s="1" t="s">
        <v>28</v>
      </c>
      <c r="C358" s="1">
        <v>58</v>
      </c>
      <c r="D358" s="2" t="str" cm="1">
        <f t="array" ref="D358">_xlfn.IFS(C358&lt;35, "young", C358&lt;50, "middle age", C358&gt;=50, "old")</f>
        <v>old</v>
      </c>
      <c r="E358" s="1" t="s">
        <v>29</v>
      </c>
      <c r="F358" s="1">
        <v>8</v>
      </c>
      <c r="G358" s="1">
        <v>9</v>
      </c>
      <c r="H358" s="1">
        <v>75</v>
      </c>
      <c r="I358" s="1">
        <v>3</v>
      </c>
      <c r="J358" s="1" t="s">
        <v>15</v>
      </c>
      <c r="K358" s="1" t="s">
        <v>54</v>
      </c>
      <c r="L358" s="1">
        <f t="shared" si="10"/>
        <v>140</v>
      </c>
      <c r="M358" s="3">
        <f t="shared" si="11"/>
        <v>95</v>
      </c>
      <c r="N358" s="1">
        <v>68</v>
      </c>
      <c r="O358" s="1">
        <v>7000</v>
      </c>
      <c r="P358" s="1" t="s">
        <v>24</v>
      </c>
    </row>
    <row r="359" spans="1:16" ht="16.5">
      <c r="A359" s="1">
        <v>358</v>
      </c>
      <c r="B359" s="1" t="s">
        <v>28</v>
      </c>
      <c r="C359" s="1">
        <v>58</v>
      </c>
      <c r="D359" s="2" t="str" cm="1">
        <f t="array" ref="D359">_xlfn.IFS(C359&lt;35, "young", C359&lt;50, "middle age", C359&gt;=50, "old")</f>
        <v>old</v>
      </c>
      <c r="E359" s="1" t="s">
        <v>29</v>
      </c>
      <c r="F359" s="1">
        <v>8</v>
      </c>
      <c r="G359" s="1">
        <v>9</v>
      </c>
      <c r="H359" s="1">
        <v>75</v>
      </c>
      <c r="I359" s="1">
        <v>3</v>
      </c>
      <c r="J359" s="1" t="s">
        <v>15</v>
      </c>
      <c r="K359" s="1" t="s">
        <v>54</v>
      </c>
      <c r="L359" s="1">
        <f t="shared" si="10"/>
        <v>140</v>
      </c>
      <c r="M359" s="3">
        <f t="shared" si="11"/>
        <v>95</v>
      </c>
      <c r="N359" s="1">
        <v>68</v>
      </c>
      <c r="O359" s="1">
        <v>7000</v>
      </c>
      <c r="P359" s="1" t="s">
        <v>24</v>
      </c>
    </row>
    <row r="360" spans="1:16" ht="16.5">
      <c r="A360" s="1">
        <v>359</v>
      </c>
      <c r="B360" s="1" t="s">
        <v>28</v>
      </c>
      <c r="C360" s="1">
        <v>59</v>
      </c>
      <c r="D360" s="2" t="str" cm="1">
        <f t="array" ref="D360">_xlfn.IFS(C360&lt;35, "young", C360&lt;50, "middle age", C360&gt;=50, "old")</f>
        <v>old</v>
      </c>
      <c r="E360" s="1" t="s">
        <v>29</v>
      </c>
      <c r="F360" s="1">
        <v>8</v>
      </c>
      <c r="G360" s="1">
        <v>9</v>
      </c>
      <c r="H360" s="1">
        <v>75</v>
      </c>
      <c r="I360" s="1">
        <v>3</v>
      </c>
      <c r="J360" s="1" t="s">
        <v>15</v>
      </c>
      <c r="K360" s="1" t="s">
        <v>54</v>
      </c>
      <c r="L360" s="1">
        <f t="shared" si="10"/>
        <v>140</v>
      </c>
      <c r="M360" s="3">
        <f t="shared" si="11"/>
        <v>95</v>
      </c>
      <c r="N360" s="1">
        <v>68</v>
      </c>
      <c r="O360" s="1">
        <v>7000</v>
      </c>
      <c r="P360" s="1" t="s">
        <v>17</v>
      </c>
    </row>
    <row r="361" spans="1:16" ht="16.5">
      <c r="A361" s="1">
        <v>360</v>
      </c>
      <c r="B361" s="1" t="s">
        <v>28</v>
      </c>
      <c r="C361" s="1">
        <v>59</v>
      </c>
      <c r="D361" s="2" t="str" cm="1">
        <f t="array" ref="D361">_xlfn.IFS(C361&lt;35, "young", C361&lt;50, "middle age", C361&gt;=50, "old")</f>
        <v>old</v>
      </c>
      <c r="E361" s="1" t="s">
        <v>29</v>
      </c>
      <c r="F361" s="1">
        <v>8.1</v>
      </c>
      <c r="G361" s="1">
        <v>9</v>
      </c>
      <c r="H361" s="1">
        <v>75</v>
      </c>
      <c r="I361" s="1">
        <v>3</v>
      </c>
      <c r="J361" s="1" t="s">
        <v>15</v>
      </c>
      <c r="K361" s="1" t="s">
        <v>54</v>
      </c>
      <c r="L361" s="1">
        <f t="shared" si="10"/>
        <v>140</v>
      </c>
      <c r="M361" s="3">
        <f t="shared" si="11"/>
        <v>95</v>
      </c>
      <c r="N361" s="1">
        <v>68</v>
      </c>
      <c r="O361" s="1">
        <v>7000</v>
      </c>
      <c r="P361" s="1" t="s">
        <v>17</v>
      </c>
    </row>
    <row r="362" spans="1:16" ht="16.5">
      <c r="A362" s="1">
        <v>361</v>
      </c>
      <c r="B362" s="1" t="s">
        <v>28</v>
      </c>
      <c r="C362" s="1">
        <v>59</v>
      </c>
      <c r="D362" s="2" t="str" cm="1">
        <f t="array" ref="D362">_xlfn.IFS(C362&lt;35, "young", C362&lt;50, "middle age", C362&gt;=50, "old")</f>
        <v>old</v>
      </c>
      <c r="E362" s="1" t="s">
        <v>29</v>
      </c>
      <c r="F362" s="1">
        <v>8.1999999999999993</v>
      </c>
      <c r="G362" s="1">
        <v>9</v>
      </c>
      <c r="H362" s="1">
        <v>75</v>
      </c>
      <c r="I362" s="1">
        <v>3</v>
      </c>
      <c r="J362" s="1" t="s">
        <v>15</v>
      </c>
      <c r="K362" s="1" t="s">
        <v>54</v>
      </c>
      <c r="L362" s="1">
        <f t="shared" si="10"/>
        <v>140</v>
      </c>
      <c r="M362" s="3">
        <f t="shared" si="11"/>
        <v>95</v>
      </c>
      <c r="N362" s="1">
        <v>68</v>
      </c>
      <c r="O362" s="1">
        <v>7000</v>
      </c>
      <c r="P362" s="1" t="s">
        <v>24</v>
      </c>
    </row>
    <row r="363" spans="1:16" ht="16.5">
      <c r="A363" s="1">
        <v>362</v>
      </c>
      <c r="B363" s="1" t="s">
        <v>28</v>
      </c>
      <c r="C363" s="1">
        <v>59</v>
      </c>
      <c r="D363" s="2" t="str" cm="1">
        <f t="array" ref="D363">_xlfn.IFS(C363&lt;35, "young", C363&lt;50, "middle age", C363&gt;=50, "old")</f>
        <v>old</v>
      </c>
      <c r="E363" s="1" t="s">
        <v>29</v>
      </c>
      <c r="F363" s="1">
        <v>8.1999999999999993</v>
      </c>
      <c r="G363" s="1">
        <v>9</v>
      </c>
      <c r="H363" s="1">
        <v>75</v>
      </c>
      <c r="I363" s="1">
        <v>3</v>
      </c>
      <c r="J363" s="1" t="s">
        <v>15</v>
      </c>
      <c r="K363" s="1" t="s">
        <v>54</v>
      </c>
      <c r="L363" s="1">
        <f t="shared" si="10"/>
        <v>140</v>
      </c>
      <c r="M363" s="3">
        <f t="shared" si="11"/>
        <v>95</v>
      </c>
      <c r="N363" s="1">
        <v>68</v>
      </c>
      <c r="O363" s="1">
        <v>7000</v>
      </c>
      <c r="P363" s="1" t="s">
        <v>24</v>
      </c>
    </row>
    <row r="364" spans="1:16" ht="16.5">
      <c r="A364" s="1">
        <v>363</v>
      </c>
      <c r="B364" s="1" t="s">
        <v>28</v>
      </c>
      <c r="C364" s="1">
        <v>59</v>
      </c>
      <c r="D364" s="2" t="str" cm="1">
        <f t="array" ref="D364">_xlfn.IFS(C364&lt;35, "young", C364&lt;50, "middle age", C364&gt;=50, "old")</f>
        <v>old</v>
      </c>
      <c r="E364" s="1" t="s">
        <v>29</v>
      </c>
      <c r="F364" s="1">
        <v>8.1999999999999993</v>
      </c>
      <c r="G364" s="1">
        <v>9</v>
      </c>
      <c r="H364" s="1">
        <v>75</v>
      </c>
      <c r="I364" s="1">
        <v>3</v>
      </c>
      <c r="J364" s="1" t="s">
        <v>15</v>
      </c>
      <c r="K364" s="1" t="s">
        <v>54</v>
      </c>
      <c r="L364" s="1">
        <f t="shared" si="10"/>
        <v>140</v>
      </c>
      <c r="M364" s="3">
        <f t="shared" si="11"/>
        <v>95</v>
      </c>
      <c r="N364" s="1">
        <v>68</v>
      </c>
      <c r="O364" s="1">
        <v>7000</v>
      </c>
      <c r="P364" s="1" t="s">
        <v>24</v>
      </c>
    </row>
    <row r="365" spans="1:16" ht="16.5">
      <c r="A365" s="1">
        <v>364</v>
      </c>
      <c r="B365" s="1" t="s">
        <v>28</v>
      </c>
      <c r="C365" s="1">
        <v>59</v>
      </c>
      <c r="D365" s="2" t="str" cm="1">
        <f t="array" ref="D365">_xlfn.IFS(C365&lt;35, "young", C365&lt;50, "middle age", C365&gt;=50, "old")</f>
        <v>old</v>
      </c>
      <c r="E365" s="1" t="s">
        <v>29</v>
      </c>
      <c r="F365" s="1">
        <v>8.1999999999999993</v>
      </c>
      <c r="G365" s="1">
        <v>9</v>
      </c>
      <c r="H365" s="1">
        <v>75</v>
      </c>
      <c r="I365" s="1">
        <v>3</v>
      </c>
      <c r="J365" s="1" t="s">
        <v>15</v>
      </c>
      <c r="K365" s="1" t="s">
        <v>54</v>
      </c>
      <c r="L365" s="1">
        <f t="shared" si="10"/>
        <v>140</v>
      </c>
      <c r="M365" s="3">
        <f t="shared" si="11"/>
        <v>95</v>
      </c>
      <c r="N365" s="1">
        <v>68</v>
      </c>
      <c r="O365" s="1">
        <v>7000</v>
      </c>
      <c r="P365" s="1" t="s">
        <v>24</v>
      </c>
    </row>
    <row r="366" spans="1:16" ht="16.5">
      <c r="A366" s="1">
        <v>365</v>
      </c>
      <c r="B366" s="1" t="s">
        <v>28</v>
      </c>
      <c r="C366" s="1">
        <v>59</v>
      </c>
      <c r="D366" s="2" t="str" cm="1">
        <f t="array" ref="D366">_xlfn.IFS(C366&lt;35, "young", C366&lt;50, "middle age", C366&gt;=50, "old")</f>
        <v>old</v>
      </c>
      <c r="E366" s="1" t="s">
        <v>29</v>
      </c>
      <c r="F366" s="1">
        <v>8</v>
      </c>
      <c r="G366" s="1">
        <v>9</v>
      </c>
      <c r="H366" s="1">
        <v>75</v>
      </c>
      <c r="I366" s="1">
        <v>3</v>
      </c>
      <c r="J366" s="1" t="s">
        <v>15</v>
      </c>
      <c r="K366" s="1" t="s">
        <v>54</v>
      </c>
      <c r="L366" s="1">
        <f t="shared" si="10"/>
        <v>140</v>
      </c>
      <c r="M366" s="3">
        <f t="shared" si="11"/>
        <v>95</v>
      </c>
      <c r="N366" s="1">
        <v>68</v>
      </c>
      <c r="O366" s="1">
        <v>7000</v>
      </c>
      <c r="P366" s="1" t="s">
        <v>24</v>
      </c>
    </row>
    <row r="367" spans="1:16" ht="16.5">
      <c r="A367" s="1">
        <v>366</v>
      </c>
      <c r="B367" s="1" t="s">
        <v>28</v>
      </c>
      <c r="C367" s="1">
        <v>59</v>
      </c>
      <c r="D367" s="2" t="str" cm="1">
        <f t="array" ref="D367">_xlfn.IFS(C367&lt;35, "young", C367&lt;50, "middle age", C367&gt;=50, "old")</f>
        <v>old</v>
      </c>
      <c r="E367" s="1" t="s">
        <v>29</v>
      </c>
      <c r="F367" s="1">
        <v>8</v>
      </c>
      <c r="G367" s="1">
        <v>9</v>
      </c>
      <c r="H367" s="1">
        <v>75</v>
      </c>
      <c r="I367" s="1">
        <v>3</v>
      </c>
      <c r="J367" s="1" t="s">
        <v>15</v>
      </c>
      <c r="K367" s="1" t="s">
        <v>54</v>
      </c>
      <c r="L367" s="1">
        <f t="shared" si="10"/>
        <v>140</v>
      </c>
      <c r="M367" s="3">
        <f t="shared" si="11"/>
        <v>95</v>
      </c>
      <c r="N367" s="1">
        <v>68</v>
      </c>
      <c r="O367" s="1">
        <v>7000</v>
      </c>
      <c r="P367" s="1" t="s">
        <v>24</v>
      </c>
    </row>
    <row r="368" spans="1:16" ht="16.5">
      <c r="A368" s="1">
        <v>367</v>
      </c>
      <c r="B368" s="1" t="s">
        <v>28</v>
      </c>
      <c r="C368" s="1">
        <v>59</v>
      </c>
      <c r="D368" s="2" t="str" cm="1">
        <f t="array" ref="D368">_xlfn.IFS(C368&lt;35, "young", C368&lt;50, "middle age", C368&gt;=50, "old")</f>
        <v>old</v>
      </c>
      <c r="E368" s="1" t="s">
        <v>29</v>
      </c>
      <c r="F368" s="1">
        <v>8.1</v>
      </c>
      <c r="G368" s="1">
        <v>9</v>
      </c>
      <c r="H368" s="1">
        <v>75</v>
      </c>
      <c r="I368" s="1">
        <v>3</v>
      </c>
      <c r="J368" s="1" t="s">
        <v>15</v>
      </c>
      <c r="K368" s="1" t="s">
        <v>54</v>
      </c>
      <c r="L368" s="1">
        <f t="shared" si="10"/>
        <v>140</v>
      </c>
      <c r="M368" s="3">
        <f t="shared" si="11"/>
        <v>95</v>
      </c>
      <c r="N368" s="1">
        <v>68</v>
      </c>
      <c r="O368" s="1">
        <v>7000</v>
      </c>
      <c r="P368" s="1" t="s">
        <v>24</v>
      </c>
    </row>
    <row r="369" spans="1:16" ht="16.5">
      <c r="A369" s="1">
        <v>368</v>
      </c>
      <c r="B369" s="1" t="s">
        <v>28</v>
      </c>
      <c r="C369" s="1">
        <v>59</v>
      </c>
      <c r="D369" s="2" t="str" cm="1">
        <f t="array" ref="D369">_xlfn.IFS(C369&lt;35, "young", C369&lt;50, "middle age", C369&gt;=50, "old")</f>
        <v>old</v>
      </c>
      <c r="E369" s="1" t="s">
        <v>29</v>
      </c>
      <c r="F369" s="1">
        <v>8</v>
      </c>
      <c r="G369" s="1">
        <v>9</v>
      </c>
      <c r="H369" s="1">
        <v>75</v>
      </c>
      <c r="I369" s="1">
        <v>3</v>
      </c>
      <c r="J369" s="1" t="s">
        <v>15</v>
      </c>
      <c r="K369" s="1" t="s">
        <v>54</v>
      </c>
      <c r="L369" s="1">
        <f t="shared" si="10"/>
        <v>140</v>
      </c>
      <c r="M369" s="3">
        <f t="shared" si="11"/>
        <v>95</v>
      </c>
      <c r="N369" s="1">
        <v>68</v>
      </c>
      <c r="O369" s="1">
        <v>7000</v>
      </c>
      <c r="P369" s="1" t="s">
        <v>24</v>
      </c>
    </row>
    <row r="370" spans="1:16" ht="16.5">
      <c r="A370" s="1">
        <v>369</v>
      </c>
      <c r="B370" s="1" t="s">
        <v>28</v>
      </c>
      <c r="C370" s="1">
        <v>59</v>
      </c>
      <c r="D370" s="2" t="str" cm="1">
        <f t="array" ref="D370">_xlfn.IFS(C370&lt;35, "young", C370&lt;50, "middle age", C370&gt;=50, "old")</f>
        <v>old</v>
      </c>
      <c r="E370" s="1" t="s">
        <v>29</v>
      </c>
      <c r="F370" s="1">
        <v>8.1</v>
      </c>
      <c r="G370" s="1">
        <v>9</v>
      </c>
      <c r="H370" s="1">
        <v>75</v>
      </c>
      <c r="I370" s="1">
        <v>3</v>
      </c>
      <c r="J370" s="1" t="s">
        <v>15</v>
      </c>
      <c r="K370" s="1" t="s">
        <v>54</v>
      </c>
      <c r="L370" s="1">
        <f t="shared" si="10"/>
        <v>140</v>
      </c>
      <c r="M370" s="3">
        <f t="shared" si="11"/>
        <v>95</v>
      </c>
      <c r="N370" s="1">
        <v>68</v>
      </c>
      <c r="O370" s="1">
        <v>7000</v>
      </c>
      <c r="P370" s="1" t="s">
        <v>24</v>
      </c>
    </row>
    <row r="371" spans="1:16" ht="16.5">
      <c r="A371" s="1">
        <v>370</v>
      </c>
      <c r="B371" s="1" t="s">
        <v>28</v>
      </c>
      <c r="C371" s="1">
        <v>59</v>
      </c>
      <c r="D371" s="2" t="str" cm="1">
        <f t="array" ref="D371">_xlfn.IFS(C371&lt;35, "young", C371&lt;50, "middle age", C371&gt;=50, "old")</f>
        <v>old</v>
      </c>
      <c r="E371" s="1" t="s">
        <v>29</v>
      </c>
      <c r="F371" s="1">
        <v>8.1</v>
      </c>
      <c r="G371" s="1">
        <v>9</v>
      </c>
      <c r="H371" s="1">
        <v>75</v>
      </c>
      <c r="I371" s="1">
        <v>3</v>
      </c>
      <c r="J371" s="1" t="s">
        <v>15</v>
      </c>
      <c r="K371" s="1" t="s">
        <v>54</v>
      </c>
      <c r="L371" s="1">
        <f t="shared" si="10"/>
        <v>140</v>
      </c>
      <c r="M371" s="3">
        <f t="shared" si="11"/>
        <v>95</v>
      </c>
      <c r="N371" s="1">
        <v>68</v>
      </c>
      <c r="O371" s="1">
        <v>7000</v>
      </c>
      <c r="P371" s="1" t="s">
        <v>24</v>
      </c>
    </row>
    <row r="372" spans="1:16" ht="16.5">
      <c r="A372" s="1">
        <v>371</v>
      </c>
      <c r="B372" s="1" t="s">
        <v>28</v>
      </c>
      <c r="C372" s="1">
        <v>59</v>
      </c>
      <c r="D372" s="2" t="str" cm="1">
        <f t="array" ref="D372">_xlfn.IFS(C372&lt;35, "young", C372&lt;50, "middle age", C372&gt;=50, "old")</f>
        <v>old</v>
      </c>
      <c r="E372" s="1" t="s">
        <v>29</v>
      </c>
      <c r="F372" s="1">
        <v>8</v>
      </c>
      <c r="G372" s="1">
        <v>9</v>
      </c>
      <c r="H372" s="1">
        <v>75</v>
      </c>
      <c r="I372" s="1">
        <v>3</v>
      </c>
      <c r="J372" s="1" t="s">
        <v>15</v>
      </c>
      <c r="K372" s="1" t="s">
        <v>54</v>
      </c>
      <c r="L372" s="1">
        <f t="shared" si="10"/>
        <v>140</v>
      </c>
      <c r="M372" s="3">
        <f t="shared" si="11"/>
        <v>95</v>
      </c>
      <c r="N372" s="1">
        <v>68</v>
      </c>
      <c r="O372" s="1">
        <v>7000</v>
      </c>
      <c r="P372" s="1" t="s">
        <v>24</v>
      </c>
    </row>
    <row r="373" spans="1:16" ht="16.5">
      <c r="A373" s="1">
        <v>372</v>
      </c>
      <c r="B373" s="1" t="s">
        <v>28</v>
      </c>
      <c r="C373" s="1">
        <v>59</v>
      </c>
      <c r="D373" s="2" t="str" cm="1">
        <f t="array" ref="D373">_xlfn.IFS(C373&lt;35, "young", C373&lt;50, "middle age", C373&gt;=50, "old")</f>
        <v>old</v>
      </c>
      <c r="E373" s="1" t="s">
        <v>29</v>
      </c>
      <c r="F373" s="1">
        <v>8.1</v>
      </c>
      <c r="G373" s="1">
        <v>9</v>
      </c>
      <c r="H373" s="1">
        <v>75</v>
      </c>
      <c r="I373" s="1">
        <v>3</v>
      </c>
      <c r="J373" s="1" t="s">
        <v>15</v>
      </c>
      <c r="K373" s="1" t="s">
        <v>54</v>
      </c>
      <c r="L373" s="1">
        <f t="shared" si="10"/>
        <v>140</v>
      </c>
      <c r="M373" s="3">
        <f t="shared" si="11"/>
        <v>95</v>
      </c>
      <c r="N373" s="1">
        <v>68</v>
      </c>
      <c r="O373" s="1">
        <v>7000</v>
      </c>
      <c r="P373" s="1" t="s">
        <v>24</v>
      </c>
    </row>
    <row r="374" spans="1:16" ht="16.5">
      <c r="A374" s="1">
        <v>373</v>
      </c>
      <c r="B374" s="1" t="s">
        <v>28</v>
      </c>
      <c r="C374" s="1">
        <v>59</v>
      </c>
      <c r="D374" s="2" t="str" cm="1">
        <f t="array" ref="D374">_xlfn.IFS(C374&lt;35, "young", C374&lt;50, "middle age", C374&gt;=50, "old")</f>
        <v>old</v>
      </c>
      <c r="E374" s="1" t="s">
        <v>29</v>
      </c>
      <c r="F374" s="1">
        <v>8.1</v>
      </c>
      <c r="G374" s="1">
        <v>9</v>
      </c>
      <c r="H374" s="1">
        <v>75</v>
      </c>
      <c r="I374" s="1">
        <v>3</v>
      </c>
      <c r="J374" s="1" t="s">
        <v>15</v>
      </c>
      <c r="K374" s="1" t="s">
        <v>54</v>
      </c>
      <c r="L374" s="1">
        <f t="shared" si="10"/>
        <v>140</v>
      </c>
      <c r="M374" s="3">
        <f t="shared" si="11"/>
        <v>95</v>
      </c>
      <c r="N374" s="1">
        <v>68</v>
      </c>
      <c r="O374" s="1">
        <v>7000</v>
      </c>
      <c r="P374" s="1" t="s">
        <v>24</v>
      </c>
    </row>
    <row r="375" spans="1:16" ht="16.5">
      <c r="A375" s="1">
        <v>374</v>
      </c>
      <c r="B375" s="1" t="s">
        <v>28</v>
      </c>
      <c r="C375" s="1">
        <v>59</v>
      </c>
      <c r="D375" s="2" t="str" cm="1">
        <f t="array" ref="D375">_xlfn.IFS(C375&lt;35, "young", C375&lt;50, "middle age", C375&gt;=50, "old")</f>
        <v>old</v>
      </c>
      <c r="E375" s="1" t="s">
        <v>29</v>
      </c>
      <c r="F375" s="1">
        <v>8.1</v>
      </c>
      <c r="G375" s="1">
        <v>9</v>
      </c>
      <c r="H375" s="1">
        <v>75</v>
      </c>
      <c r="I375" s="1">
        <v>3</v>
      </c>
      <c r="J375" s="1" t="s">
        <v>15</v>
      </c>
      <c r="K375" s="1" t="s">
        <v>54</v>
      </c>
      <c r="L375" s="1">
        <f t="shared" si="10"/>
        <v>140</v>
      </c>
      <c r="M375" s="3">
        <f t="shared" si="11"/>
        <v>95</v>
      </c>
      <c r="N375" s="1">
        <v>68</v>
      </c>
      <c r="O375" s="1">
        <v>7000</v>
      </c>
      <c r="P375" s="1" t="s">
        <v>24</v>
      </c>
    </row>
    <row r="376" spans="1:16">
      <c r="A376" s="4"/>
      <c r="B376" s="4"/>
      <c r="C376" s="4"/>
      <c r="D376" s="5"/>
      <c r="E376" s="4"/>
      <c r="F376" s="4">
        <f>SUM(F2:F375)</f>
        <v>2667.3999999999965</v>
      </c>
      <c r="G376" s="4">
        <f>SUM(G2:G375)</f>
        <v>2735</v>
      </c>
      <c r="H376" s="4">
        <f>SUM(H2:H375)</f>
        <v>22130</v>
      </c>
      <c r="I376" s="4">
        <f>SUM(I2:I375)</f>
        <v>2014</v>
      </c>
      <c r="J376" s="4"/>
      <c r="K376" s="4"/>
      <c r="L376" s="4">
        <f>SUM(L2:L375)</f>
        <v>48079</v>
      </c>
      <c r="M376" s="6">
        <f>SUM(M2:M375)</f>
        <v>31659</v>
      </c>
      <c r="N376" s="4">
        <f>SUM(N2:N375)</f>
        <v>26242</v>
      </c>
      <c r="O376" s="4">
        <f>SUM(O2:O375)</f>
        <v>2549500</v>
      </c>
      <c r="P376" s="4"/>
    </row>
    <row r="377" spans="1:16">
      <c r="A377" s="7"/>
      <c r="B377" s="7"/>
      <c r="C377" s="7"/>
      <c r="D377" s="7"/>
      <c r="E377" s="7"/>
      <c r="F377" s="10">
        <f>AVERAGE(F2:F375)</f>
        <v>7.1320855614973171</v>
      </c>
      <c r="G377" s="10">
        <f>AVERAGE(G2:G375)</f>
        <v>7.3128342245989302</v>
      </c>
      <c r="H377" s="10">
        <f>AVERAGE(H2:H375)</f>
        <v>59.171122994652407</v>
      </c>
      <c r="I377" s="10">
        <f>AVERAGE(I2:I375)</f>
        <v>5.3850267379679142</v>
      </c>
      <c r="J377" s="10"/>
      <c r="K377" s="10"/>
      <c r="L377" s="10">
        <f>AVERAGE(L2:L375)</f>
        <v>128.55347593582889</v>
      </c>
      <c r="M377" s="10">
        <f>AVERAGE(M2:M375)</f>
        <v>84.649732620320862</v>
      </c>
      <c r="N377" s="10">
        <f>AVERAGE(I2:I375)</f>
        <v>5.3850267379679142</v>
      </c>
      <c r="O377" s="10">
        <f>AVERAGE(O2:O375)</f>
        <v>6816.8449197860964</v>
      </c>
      <c r="P377" s="7"/>
    </row>
    <row r="378" spans="1:16">
      <c r="F378" s="11"/>
      <c r="G378" s="11"/>
      <c r="H378" s="11"/>
      <c r="I378" s="11"/>
      <c r="J378" s="11"/>
      <c r="K378" s="11"/>
      <c r="L378" s="11"/>
      <c r="M378" s="11"/>
      <c r="N378" s="11"/>
      <c r="O378" s="11"/>
    </row>
    <row r="379" spans="1:16">
      <c r="F379" s="11"/>
      <c r="G379" s="11"/>
      <c r="H379" s="11"/>
      <c r="I379" s="11"/>
      <c r="J379" s="11"/>
      <c r="K379" s="11"/>
      <c r="L379" s="11"/>
      <c r="M379" s="11"/>
      <c r="N379" s="11"/>
      <c r="O379" s="11"/>
    </row>
    <row r="380" spans="1:16">
      <c r="F380" s="11"/>
      <c r="G380" s="11"/>
      <c r="H380" s="11"/>
      <c r="I380" s="11"/>
      <c r="J380" s="11"/>
      <c r="K380" s="11"/>
      <c r="L380" s="11"/>
      <c r="M380" s="11"/>
      <c r="N380" s="11"/>
      <c r="O380" s="11"/>
    </row>
    <row r="381" spans="1:16">
      <c r="F381" s="11"/>
      <c r="G381" s="11"/>
      <c r="H381" s="11"/>
      <c r="I381" s="11"/>
      <c r="J381" s="11"/>
      <c r="K381" s="11"/>
      <c r="L381" s="11"/>
      <c r="M381" s="11"/>
      <c r="N381" s="11"/>
      <c r="O381" s="11"/>
    </row>
    <row r="382" spans="1:16">
      <c r="F382" s="11"/>
      <c r="G382" s="11"/>
      <c r="H382" s="11"/>
      <c r="I382" s="11"/>
      <c r="J382" s="11"/>
      <c r="K382" s="11"/>
      <c r="L382" s="11"/>
      <c r="M382" s="11"/>
      <c r="N382" s="11"/>
      <c r="O382" s="11"/>
    </row>
    <row r="383" spans="1:16" ht="48.75">
      <c r="A383" s="8"/>
      <c r="B383" s="8" t="s">
        <v>63</v>
      </c>
      <c r="C383" s="8" t="s">
        <v>64</v>
      </c>
      <c r="D383" s="8"/>
      <c r="E383" s="8"/>
      <c r="F383" s="9" t="s">
        <v>65</v>
      </c>
      <c r="G383" s="9" t="s">
        <v>66</v>
      </c>
      <c r="H383" s="9" t="s">
        <v>67</v>
      </c>
      <c r="I383" s="9" t="s">
        <v>68</v>
      </c>
      <c r="J383" s="9" t="s">
        <v>69</v>
      </c>
      <c r="K383" s="9" t="s">
        <v>70</v>
      </c>
      <c r="L383" s="12" t="s">
        <v>71</v>
      </c>
      <c r="M383" s="12" t="s">
        <v>72</v>
      </c>
      <c r="N383" s="12" t="s">
        <v>73</v>
      </c>
      <c r="O383" s="12" t="s">
        <v>74</v>
      </c>
      <c r="P383" s="8"/>
    </row>
    <row r="384" spans="1:16">
      <c r="A384" s="8"/>
      <c r="B384" s="8">
        <f>COUNTIF(B2:B375, "Female")</f>
        <v>185</v>
      </c>
      <c r="C384" s="8">
        <f>COUNTIF(B2:B375, "Male")</f>
        <v>189</v>
      </c>
      <c r="D384" s="8"/>
      <c r="E384" s="8"/>
      <c r="F384" s="9">
        <f>SUMIF(B2:B375,"Female",F2:F375)</f>
        <v>1337.4999999999998</v>
      </c>
      <c r="G384" s="9">
        <f>SUMIF(B2:B375,"Male",F2:F375)</f>
        <v>1329.8999999999994</v>
      </c>
      <c r="H384" s="9">
        <f>SUMIF(B2:B275,"Female",F2:F375)</f>
        <v>592.50000000000034</v>
      </c>
      <c r="I384" s="9">
        <f>SUMIF(B2:B275,"Male",H2:H375)</f>
        <v>11019</v>
      </c>
      <c r="J384" s="9">
        <f>SUMIF(B2:B375,"Female",I2:I375)</f>
        <v>865</v>
      </c>
      <c r="K384" s="9">
        <f>SUMIF(B2:B375,"Male",I2:I375)</f>
        <v>1149</v>
      </c>
      <c r="L384" s="9">
        <f>SUMIF(B2:B375,"Female",L2:L375)</f>
        <v>24087</v>
      </c>
      <c r="M384" s="9">
        <f>SUMIF(B2:B375,"Male",L2:L375)</f>
        <v>23992</v>
      </c>
      <c r="N384" s="9">
        <f>SUMIF(B2:B375,"Female",M2:M375)</f>
        <v>15969</v>
      </c>
      <c r="O384" s="9">
        <f>SUMIF(B2:B375,"Male",M2:M375)</f>
        <v>15690</v>
      </c>
      <c r="P384" s="8"/>
    </row>
    <row r="385" spans="1:16">
      <c r="A385" s="8"/>
      <c r="B385" s="8"/>
      <c r="C385" s="8"/>
      <c r="D385" s="8"/>
      <c r="E385" s="8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8"/>
    </row>
    <row r="386" spans="1:16">
      <c r="A386" s="8"/>
      <c r="B386" s="8"/>
      <c r="C386" s="8"/>
      <c r="D386" s="8"/>
      <c r="E386" s="8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8"/>
    </row>
    <row r="387" spans="1:16" ht="48.75">
      <c r="A387" s="8"/>
      <c r="B387" s="8"/>
      <c r="C387" s="8"/>
      <c r="D387" s="8"/>
      <c r="E387" s="8"/>
      <c r="F387" s="9" t="s">
        <v>75</v>
      </c>
      <c r="G387" s="9" t="s">
        <v>76</v>
      </c>
      <c r="H387" s="9" t="s">
        <v>77</v>
      </c>
      <c r="I387" s="9" t="s">
        <v>78</v>
      </c>
      <c r="J387" s="9" t="s">
        <v>79</v>
      </c>
      <c r="K387" s="9" t="s">
        <v>80</v>
      </c>
      <c r="L387" s="12" t="s">
        <v>81</v>
      </c>
      <c r="M387" s="12" t="s">
        <v>82</v>
      </c>
      <c r="N387" s="12" t="s">
        <v>83</v>
      </c>
      <c r="O387" s="12" t="s">
        <v>84</v>
      </c>
      <c r="P387" s="8"/>
    </row>
    <row r="388" spans="1:16">
      <c r="A388" s="8"/>
      <c r="B388" s="8"/>
      <c r="C388" s="8"/>
      <c r="D388" s="8"/>
      <c r="E388" s="8"/>
      <c r="F388" s="9">
        <f>AVERAGEIF(B2:B375,"Female",F2:F375)</f>
        <v>7.2297297297297289</v>
      </c>
      <c r="G388" s="9">
        <f>AVERAGEIF(B2:B375,"Male",F2:F375)</f>
        <v>7.0365079365079337</v>
      </c>
      <c r="H388" s="9">
        <f>AVERAGEIF(B2:B375,"Female",H2:H375)</f>
        <v>59.140540540540542</v>
      </c>
      <c r="I388" s="9">
        <f>AVERAGEIF(B2:B375,"Male",H2:H375)</f>
        <v>59.201058201058203</v>
      </c>
      <c r="J388" s="9">
        <f>AVERAGEIF(B2:B375,"Female",I2:I375)</f>
        <v>4.6756756756756754</v>
      </c>
      <c r="K388" s="9">
        <f>AVERAGEIF(B2:B375,"Male",I2:I375)</f>
        <v>6.0793650793650791</v>
      </c>
      <c r="L388" s="9">
        <f>AVERAGEIF(B2:B375,"Female",L2:L375)</f>
        <v>130.19999999999999</v>
      </c>
      <c r="M388" s="9">
        <f>AVERAGEIF(B2:B375,"Male",L2:L375)</f>
        <v>126.94179894179894</v>
      </c>
      <c r="N388" s="9">
        <f>SUMIF(B2:B375,"Female",M2:M375)</f>
        <v>15969</v>
      </c>
      <c r="O388" s="9">
        <f>AVERAGEIF(B2:B375,"Male",M2:M375)</f>
        <v>83.015873015873012</v>
      </c>
      <c r="P388" s="8"/>
    </row>
    <row r="389" spans="1:16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</row>
    <row r="390" spans="1:16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</row>
  </sheetData>
  <autoFilter ref="A1:P377" xr:uid="{C6E93186-ADB9-4135-AC12-B80EDA0FEC73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4C999-2FDD-4355-9516-2EAFA1646E47}">
  <dimension ref="A3:D11"/>
  <sheetViews>
    <sheetView topLeftCell="A6" workbookViewId="0">
      <selection activeCell="L21" sqref="L21"/>
    </sheetView>
  </sheetViews>
  <sheetFormatPr defaultRowHeight="15"/>
  <cols>
    <col min="1" max="1" width="21.75" bestFit="1" customWidth="1"/>
    <col min="2" max="4" width="13.375" bestFit="1" customWidth="1"/>
    <col min="5" max="7" width="2.125" bestFit="1" customWidth="1"/>
    <col min="8" max="9" width="8.625" bestFit="1" customWidth="1"/>
  </cols>
  <sheetData>
    <row r="3" spans="1:4">
      <c r="A3" s="14" t="s">
        <v>85</v>
      </c>
      <c r="B3" s="14" t="s">
        <v>1</v>
      </c>
    </row>
    <row r="4" spans="1:4">
      <c r="A4" s="14" t="s">
        <v>7</v>
      </c>
      <c r="B4" t="s">
        <v>28</v>
      </c>
      <c r="C4" t="s">
        <v>13</v>
      </c>
      <c r="D4" t="s">
        <v>86</v>
      </c>
    </row>
    <row r="5" spans="1:4">
      <c r="A5">
        <v>3</v>
      </c>
      <c r="B5" s="13">
        <v>9</v>
      </c>
      <c r="C5" s="13">
        <v>8.5</v>
      </c>
      <c r="D5" s="13">
        <v>8.9718309859154921</v>
      </c>
    </row>
    <row r="6" spans="1:4">
      <c r="A6">
        <v>4</v>
      </c>
      <c r="B6" s="13">
        <v>7.6229508196721314</v>
      </c>
      <c r="C6" s="13">
        <v>8</v>
      </c>
      <c r="D6" s="13">
        <v>7.6714285714285717</v>
      </c>
    </row>
    <row r="7" spans="1:4">
      <c r="A7">
        <v>5</v>
      </c>
      <c r="B7" s="13">
        <v>7</v>
      </c>
      <c r="C7" s="13">
        <v>7.9230769230769234</v>
      </c>
      <c r="D7" s="13">
        <v>7.8955223880597014</v>
      </c>
    </row>
    <row r="8" spans="1:4">
      <c r="A8">
        <v>6</v>
      </c>
      <c r="B8" s="13">
        <v>6.8888888888888893</v>
      </c>
      <c r="C8" s="13">
        <v>7.0270270270270272</v>
      </c>
      <c r="D8" s="13">
        <v>7</v>
      </c>
    </row>
    <row r="9" spans="1:4">
      <c r="A9">
        <v>7</v>
      </c>
      <c r="B9" s="13">
        <v>6.166666666666667</v>
      </c>
      <c r="C9" s="13">
        <v>5.9473684210526319</v>
      </c>
      <c r="D9" s="13">
        <v>6</v>
      </c>
    </row>
    <row r="10" spans="1:4">
      <c r="A10">
        <v>8</v>
      </c>
      <c r="B10" s="13">
        <v>5.882352941176471</v>
      </c>
      <c r="C10" s="13">
        <v>5.833333333333333</v>
      </c>
      <c r="D10" s="13">
        <v>5.8571428571428568</v>
      </c>
    </row>
    <row r="11" spans="1:4">
      <c r="A11" t="s">
        <v>86</v>
      </c>
      <c r="B11" s="13">
        <v>7.6648648648648647</v>
      </c>
      <c r="C11" s="13">
        <v>6.9682539682539684</v>
      </c>
      <c r="D11" s="13">
        <v>7.3128342245989302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72F12-B0EF-4ACE-8A16-28A32CBCA95C}">
  <dimension ref="A4:J13"/>
  <sheetViews>
    <sheetView topLeftCell="A21" workbookViewId="0">
      <selection activeCell="N28" sqref="N28"/>
    </sheetView>
  </sheetViews>
  <sheetFormatPr defaultRowHeight="15"/>
  <cols>
    <col min="1" max="1" width="27.5" bestFit="1" customWidth="1"/>
    <col min="2" max="2" width="12.625" bestFit="1" customWidth="1"/>
    <col min="3" max="3" width="13.375" bestFit="1" customWidth="1"/>
    <col min="4" max="4" width="14.25" bestFit="1" customWidth="1"/>
    <col min="5" max="10" width="13.375" bestFit="1" customWidth="1"/>
    <col min="11" max="13" width="3.25" bestFit="1" customWidth="1"/>
    <col min="14" max="14" width="11.375" bestFit="1" customWidth="1"/>
    <col min="15" max="15" width="7.125" bestFit="1" customWidth="1"/>
    <col min="16" max="28" width="3.25" bestFit="1" customWidth="1"/>
    <col min="29" max="29" width="9.625" bestFit="1" customWidth="1"/>
    <col min="30" max="30" width="8.25" bestFit="1" customWidth="1"/>
    <col min="31" max="31" width="18" bestFit="1" customWidth="1"/>
    <col min="32" max="32" width="19.75" bestFit="1" customWidth="1"/>
    <col min="33" max="33" width="24.625" bestFit="1" customWidth="1"/>
    <col min="34" max="34" width="26.375" bestFit="1" customWidth="1"/>
    <col min="35" max="35" width="7" bestFit="1" customWidth="1"/>
    <col min="36" max="36" width="2.125" bestFit="1" customWidth="1"/>
    <col min="37" max="37" width="9.5" bestFit="1" customWidth="1"/>
    <col min="38" max="38" width="7" bestFit="1" customWidth="1"/>
    <col min="39" max="39" width="2.125" bestFit="1" customWidth="1"/>
    <col min="40" max="40" width="9.5" bestFit="1" customWidth="1"/>
    <col min="41" max="41" width="7" bestFit="1" customWidth="1"/>
    <col min="42" max="42" width="9.5" bestFit="1" customWidth="1"/>
    <col min="43" max="43" width="7" bestFit="1" customWidth="1"/>
    <col min="44" max="44" width="9.5" bestFit="1" customWidth="1"/>
    <col min="45" max="45" width="7" bestFit="1" customWidth="1"/>
    <col min="46" max="47" width="2.125" bestFit="1" customWidth="1"/>
    <col min="48" max="48" width="9.5" bestFit="1" customWidth="1"/>
    <col min="49" max="49" width="8" bestFit="1" customWidth="1"/>
    <col min="50" max="50" width="2.125" bestFit="1" customWidth="1"/>
    <col min="51" max="51" width="10.5" bestFit="1" customWidth="1"/>
    <col min="52" max="52" width="8.25" bestFit="1" customWidth="1"/>
    <col min="53" max="100" width="3.25" bestFit="1" customWidth="1"/>
    <col min="101" max="375" width="4.375" bestFit="1" customWidth="1"/>
    <col min="376" max="376" width="8.25" bestFit="1" customWidth="1"/>
  </cols>
  <sheetData>
    <row r="4" spans="1:10">
      <c r="A4" s="14" t="s">
        <v>59</v>
      </c>
      <c r="B4" s="14" t="s">
        <v>60</v>
      </c>
      <c r="C4" s="14" t="s">
        <v>1</v>
      </c>
    </row>
    <row r="5" spans="1:10">
      <c r="B5" t="s">
        <v>87</v>
      </c>
      <c r="D5" t="s">
        <v>88</v>
      </c>
      <c r="E5" t="s">
        <v>89</v>
      </c>
      <c r="F5" t="s">
        <v>90</v>
      </c>
      <c r="G5" t="s">
        <v>91</v>
      </c>
      <c r="I5" t="s">
        <v>92</v>
      </c>
      <c r="J5" t="s">
        <v>93</v>
      </c>
    </row>
    <row r="6" spans="1:10">
      <c r="A6" s="14" t="s">
        <v>5</v>
      </c>
      <c r="B6" t="s">
        <v>28</v>
      </c>
      <c r="C6" t="s">
        <v>13</v>
      </c>
      <c r="E6" t="s">
        <v>28</v>
      </c>
      <c r="G6" t="s">
        <v>28</v>
      </c>
      <c r="H6" t="s">
        <v>13</v>
      </c>
    </row>
    <row r="7" spans="1:10">
      <c r="A7">
        <v>4</v>
      </c>
      <c r="B7" s="13"/>
      <c r="C7" s="13"/>
      <c r="D7" s="13"/>
      <c r="E7" s="13"/>
      <c r="F7" s="13"/>
      <c r="G7" s="13">
        <v>32</v>
      </c>
      <c r="H7" s="13">
        <v>30</v>
      </c>
      <c r="I7" s="13">
        <v>30.8</v>
      </c>
      <c r="J7" s="13">
        <v>30.8</v>
      </c>
    </row>
    <row r="8" spans="1:10">
      <c r="A8">
        <v>5</v>
      </c>
      <c r="B8" s="13"/>
      <c r="C8" s="13">
        <v>36.666666666666664</v>
      </c>
      <c r="D8" s="13">
        <v>36.666666666666664</v>
      </c>
      <c r="E8" s="13"/>
      <c r="F8" s="13"/>
      <c r="G8" s="13">
        <v>37.5</v>
      </c>
      <c r="H8" s="13"/>
      <c r="I8" s="13">
        <v>37.5</v>
      </c>
      <c r="J8" s="13">
        <v>37.142857142857146</v>
      </c>
    </row>
    <row r="9" spans="1:10">
      <c r="A9">
        <v>6</v>
      </c>
      <c r="B9" s="13">
        <v>79.384615384615387</v>
      </c>
      <c r="C9" s="13">
        <v>45.060606060606062</v>
      </c>
      <c r="D9" s="13">
        <v>54.760869565217391</v>
      </c>
      <c r="E9" s="13">
        <v>90</v>
      </c>
      <c r="F9" s="13">
        <v>90</v>
      </c>
      <c r="G9" s="13">
        <v>50</v>
      </c>
      <c r="H9" s="13">
        <v>32.342857142857142</v>
      </c>
      <c r="I9" s="13">
        <v>33.297297297297298</v>
      </c>
      <c r="J9" s="13">
        <v>54.580952380952382</v>
      </c>
    </row>
    <row r="10" spans="1:10">
      <c r="A10">
        <v>7</v>
      </c>
      <c r="B10" s="13">
        <v>45</v>
      </c>
      <c r="C10" s="13">
        <v>53.125</v>
      </c>
      <c r="D10" s="13">
        <v>46.710526315789473</v>
      </c>
      <c r="E10" s="13">
        <v>46.428571428571431</v>
      </c>
      <c r="F10" s="13">
        <v>46.428571428571431</v>
      </c>
      <c r="G10" s="13"/>
      <c r="H10" s="13">
        <v>75</v>
      </c>
      <c r="I10" s="13">
        <v>75</v>
      </c>
      <c r="J10" s="13">
        <v>58.441558441558442</v>
      </c>
    </row>
    <row r="11" spans="1:10">
      <c r="A11">
        <v>8</v>
      </c>
      <c r="B11" s="13">
        <v>59.714285714285715</v>
      </c>
      <c r="C11" s="13">
        <v>74.785714285714292</v>
      </c>
      <c r="D11" s="13">
        <v>69.761904761904759</v>
      </c>
      <c r="E11" s="13"/>
      <c r="F11" s="13"/>
      <c r="G11" s="13">
        <v>75</v>
      </c>
      <c r="H11" s="13">
        <v>46.666666666666664</v>
      </c>
      <c r="I11" s="13">
        <v>53.75</v>
      </c>
      <c r="J11" s="13">
        <v>69.174311926605498</v>
      </c>
    </row>
    <row r="12" spans="1:10">
      <c r="A12">
        <v>9</v>
      </c>
      <c r="B12" s="13">
        <v>80</v>
      </c>
      <c r="C12" s="13">
        <v>85</v>
      </c>
      <c r="D12" s="13">
        <v>82.5</v>
      </c>
      <c r="E12" s="13">
        <v>53.955223880597018</v>
      </c>
      <c r="F12" s="13">
        <v>53.955223880597018</v>
      </c>
      <c r="G12" s="13"/>
      <c r="H12" s="13"/>
      <c r="I12" s="13"/>
      <c r="J12" s="13">
        <v>55.563380281690144</v>
      </c>
    </row>
    <row r="13" spans="1:10">
      <c r="A13" t="s">
        <v>93</v>
      </c>
      <c r="B13" s="13">
        <v>57.9</v>
      </c>
      <c r="C13" s="13">
        <v>64.025862068965523</v>
      </c>
      <c r="D13" s="13">
        <v>61.525510204081634</v>
      </c>
      <c r="E13" s="13">
        <v>61.666666666666664</v>
      </c>
      <c r="F13" s="13">
        <v>61.666666666666664</v>
      </c>
      <c r="G13" s="13">
        <v>43.222222222222221</v>
      </c>
      <c r="H13" s="13">
        <v>51.534246575342465</v>
      </c>
      <c r="I13" s="13">
        <v>50.621951219512198</v>
      </c>
      <c r="J13" s="13">
        <v>59.171122994652407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4E55A-0B8B-4F2B-83B7-A02C006A4FA0}">
  <dimension ref="A1"/>
  <sheetViews>
    <sheetView topLeftCell="A45" workbookViewId="0">
      <selection activeCell="J29" sqref="J29"/>
    </sheetView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38a1d27cb12b4c48</cp:lastModifiedBy>
  <cp:revision/>
  <dcterms:created xsi:type="dcterms:W3CDTF">2026-01-03T02:00:07Z</dcterms:created>
  <dcterms:modified xsi:type="dcterms:W3CDTF">2026-01-06T02:45:45Z</dcterms:modified>
  <cp:category/>
  <cp:contentStatus/>
</cp:coreProperties>
</file>